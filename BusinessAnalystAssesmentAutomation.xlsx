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ustomers" sheetId="2" r:id="rId6"/>
    <sheet state="visible" name="products" sheetId="3" r:id="rId7"/>
    <sheet state="visible" name="orders" sheetId="4" r:id="rId8"/>
    <sheet state="visible" name="LOOKUP" sheetId="5" r:id="rId9"/>
    <sheet state="visible" name="Q4.1" sheetId="6" r:id="rId10"/>
    <sheet state="visible" name="order_items" sheetId="7" r:id="rId11"/>
    <sheet state="visible" name="Pivot Table 2" sheetId="8" r:id="rId12"/>
    <sheet state="visible" name="complaints" sheetId="9" r:id="rId13"/>
    <sheet state="visible" name="FilteredCustomer" sheetId="10" r:id="rId14"/>
    <sheet state="visible" name="UpdatedOrders" sheetId="11" r:id="rId15"/>
    <sheet state="visible" name="Dashboard" sheetId="12" r:id="rId16"/>
    <sheet state="visible" name="DynamicDashboard" sheetId="13" r:id="rId17"/>
    <sheet state="visible" name="Sheet5" sheetId="14" r:id="rId18"/>
  </sheets>
  <definedNames/>
  <calcPr/>
  <pivotCaches>
    <pivotCache cacheId="0" r:id="rId19"/>
    <pivotCache cacheId="1" r:id="rId20"/>
  </pivotCaches>
</workbook>
</file>

<file path=xl/sharedStrings.xml><?xml version="1.0" encoding="utf-8"?>
<sst xmlns="http://schemas.openxmlformats.org/spreadsheetml/2006/main" count="1041" uniqueCount="344">
  <si>
    <t>BDA Screening Test — Sample Dataset</t>
  </si>
  <si>
    <t>This workbook contains fictional sample data for the Business &amp; Data Analyst hiring assignment.</t>
  </si>
  <si>
    <t>Use this data to practice your SQL queries locally (import into any SQL tool) and to set up your Google Sheet for Section 3.</t>
  </si>
  <si>
    <t>Sheet Summary</t>
  </si>
  <si>
    <t>customers    — 20 rows | customer_id, name, city, acquisition_channel, signup_date</t>
  </si>
  <si>
    <t>products     — 10 rows | product_id, product_name, category, cost_price</t>
  </si>
  <si>
    <t>orders       — 50 rows | order_id, customer_id, order_date, order_status, total_amount, coupon_code</t>
  </si>
  <si>
    <t>order_items  — ~100 rows | order_id, product_id, quantity, unit_price</t>
  </si>
  <si>
    <t>complaints   — 22 rows | complaint_id, order_id, complaint_type, raised_date, resolved_date, courier_partner</t>
  </si>
  <si>
    <t>Courier partners in dataset: BlueDart, Delhivery, Ekart</t>
  </si>
  <si>
    <t>Cities in dataset: Mumbai, Delhi, Ahmedabad, Surat, Bangalore, Chennai, Hyderabad, Pune, Kochi, Jaipur, Lucknow</t>
  </si>
  <si>
    <t>Acquisition channels: Google Ads, Instagram, Facebook Ads, Referral, Organic Search</t>
  </si>
  <si>
    <t>Order statuses: Delivered, Returned, Cancelled</t>
  </si>
  <si>
    <t>Complaint types: Late Delivery, Wrong Item, Damaged Product, Missing Item</t>
  </si>
  <si>
    <t>Table: customers</t>
  </si>
  <si>
    <t>20 records · D2C health supplement company</t>
  </si>
  <si>
    <t>customer_id</t>
  </si>
  <si>
    <t>name</t>
  </si>
  <si>
    <t>city</t>
  </si>
  <si>
    <t>acquisition_channel</t>
  </si>
  <si>
    <t>signup_date</t>
  </si>
  <si>
    <t>C001</t>
  </si>
  <si>
    <t>Priya Sharma</t>
  </si>
  <si>
    <t>Mumbai</t>
  </si>
  <si>
    <t>Google Ads</t>
  </si>
  <si>
    <t>2023-03-15</t>
  </si>
  <si>
    <t>C002</t>
  </si>
  <si>
    <t>Rohan Mehta</t>
  </si>
  <si>
    <t>Delhi</t>
  </si>
  <si>
    <t>Instagram</t>
  </si>
  <si>
    <t>2023-04-02</t>
  </si>
  <si>
    <t>C003</t>
  </si>
  <si>
    <t>Anita Joshi</t>
  </si>
  <si>
    <t>Ahmedabad</t>
  </si>
  <si>
    <t>Referral</t>
  </si>
  <si>
    <t>2023-01-20</t>
  </si>
  <si>
    <t>C004</t>
  </si>
  <si>
    <t>Karan Patel</t>
  </si>
  <si>
    <t>Surat</t>
  </si>
  <si>
    <t>2023-05-11</t>
  </si>
  <si>
    <t>C005</t>
  </si>
  <si>
    <t>Sneha Iyer</t>
  </si>
  <si>
    <t>Bangalore</t>
  </si>
  <si>
    <t>Facebook Ads</t>
  </si>
  <si>
    <t>2023-06-08</t>
  </si>
  <si>
    <t>C006</t>
  </si>
  <si>
    <t>Vijay Nair</t>
  </si>
  <si>
    <t>Chennai</t>
  </si>
  <si>
    <t>Organic Search</t>
  </si>
  <si>
    <t>2023-02-28</t>
  </si>
  <si>
    <t>C007</t>
  </si>
  <si>
    <t>Deepa Reddy</t>
  </si>
  <si>
    <t>Hyderabad</t>
  </si>
  <si>
    <t>2023-07-14</t>
  </si>
  <si>
    <t>C008</t>
  </si>
  <si>
    <t>Arun Kumar</t>
  </si>
  <si>
    <t>Pune</t>
  </si>
  <si>
    <t>2023-08-01</t>
  </si>
  <si>
    <t>C009</t>
  </si>
  <si>
    <t>Meera Pillai</t>
  </si>
  <si>
    <t>Kochi</t>
  </si>
  <si>
    <t>2023-09-19</t>
  </si>
  <si>
    <t>C010</t>
  </si>
  <si>
    <t>Suresh Gupta</t>
  </si>
  <si>
    <t>Jaipur</t>
  </si>
  <si>
    <t>2023-10-05</t>
  </si>
  <si>
    <t>C011</t>
  </si>
  <si>
    <t>Nidhi Shah</t>
  </si>
  <si>
    <t>2023-11-22</t>
  </si>
  <si>
    <t>C012</t>
  </si>
  <si>
    <t>Rahul Verma</t>
  </si>
  <si>
    <t>2023-12-10</t>
  </si>
  <si>
    <t>C013</t>
  </si>
  <si>
    <t>Pooja Mishra</t>
  </si>
  <si>
    <t>2024-01-07</t>
  </si>
  <si>
    <t>C014</t>
  </si>
  <si>
    <t>Amit Desai</t>
  </si>
  <si>
    <t>2024-02-14</t>
  </si>
  <si>
    <t>C015</t>
  </si>
  <si>
    <t>Kavya Singh</t>
  </si>
  <si>
    <t>2024-03-03</t>
  </si>
  <si>
    <t>C016</t>
  </si>
  <si>
    <t>Harish Rao</t>
  </si>
  <si>
    <t>2024-03-28</t>
  </si>
  <si>
    <t>C017</t>
  </si>
  <si>
    <t>Sonal Dave</t>
  </si>
  <si>
    <t>2024-04-15</t>
  </si>
  <si>
    <t>C018</t>
  </si>
  <si>
    <t>Mukesh Tiwari</t>
  </si>
  <si>
    <t>Lucknow</t>
  </si>
  <si>
    <t>2024-05-02</t>
  </si>
  <si>
    <t>C019</t>
  </si>
  <si>
    <t>Ritu Agarwal</t>
  </si>
  <si>
    <t>2024-05-20</t>
  </si>
  <si>
    <t>C020</t>
  </si>
  <si>
    <t>Farhan Sheikh</t>
  </si>
  <si>
    <t>2024-06-01</t>
  </si>
  <si>
    <t>Table: products</t>
  </si>
  <si>
    <t>10 records</t>
  </si>
  <si>
    <t>product_id</t>
  </si>
  <si>
    <t>product_name</t>
  </si>
  <si>
    <t>category</t>
  </si>
  <si>
    <t>cost_price</t>
  </si>
  <si>
    <t>P01</t>
  </si>
  <si>
    <t>Whey Protein 1kg</t>
  </si>
  <si>
    <t>Protein</t>
  </si>
  <si>
    <t>P02</t>
  </si>
  <si>
    <t>Multivitamin 60 tabs</t>
  </si>
  <si>
    <t>Vitamins</t>
  </si>
  <si>
    <t>P03</t>
  </si>
  <si>
    <t>Omega-3 Fish Oil 90 caps</t>
  </si>
  <si>
    <t>Supplements</t>
  </si>
  <si>
    <t>P04</t>
  </si>
  <si>
    <t>Mass Gainer 2kg</t>
  </si>
  <si>
    <t>P05</t>
  </si>
  <si>
    <t>BCAA 250g</t>
  </si>
  <si>
    <t>P06</t>
  </si>
  <si>
    <t>Vitamin D3 60 caps</t>
  </si>
  <si>
    <t>P07</t>
  </si>
  <si>
    <t>Pre-Workout 300g</t>
  </si>
  <si>
    <t>Performance</t>
  </si>
  <si>
    <t>P08</t>
  </si>
  <si>
    <t>Collagen Peptides 200g</t>
  </si>
  <si>
    <t>Wellness</t>
  </si>
  <si>
    <t>P09</t>
  </si>
  <si>
    <t>Ashwagandha 60 caps</t>
  </si>
  <si>
    <t>P10</t>
  </si>
  <si>
    <t>Creatine Monohydrate 250g</t>
  </si>
  <si>
    <t>Table: orders</t>
  </si>
  <si>
    <t>50 records</t>
  </si>
  <si>
    <t>order_id</t>
  </si>
  <si>
    <t>order_date</t>
  </si>
  <si>
    <t>order_status</t>
  </si>
  <si>
    <t>total_amount</t>
  </si>
  <si>
    <t>coupon_code</t>
  </si>
  <si>
    <t>ProperDate</t>
  </si>
  <si>
    <t>Month_Name</t>
  </si>
  <si>
    <t>OrderPlaced(Ago)</t>
  </si>
  <si>
    <t>Flag Orders</t>
  </si>
  <si>
    <t>ORD001</t>
  </si>
  <si>
    <t>2024-01-05</t>
  </si>
  <si>
    <t>Delivered</t>
  </si>
  <si>
    <t>NEWYEAR10</t>
  </si>
  <si>
    <t>ORD002</t>
  </si>
  <si>
    <t>2024-01-08</t>
  </si>
  <si>
    <t>ORD003</t>
  </si>
  <si>
    <t>2024-01-12</t>
  </si>
  <si>
    <t>WELCOME15</t>
  </si>
  <si>
    <t>ORD004</t>
  </si>
  <si>
    <t>2024-01-20</t>
  </si>
  <si>
    <t>ORD005</t>
  </si>
  <si>
    <t>2024-01-25</t>
  </si>
  <si>
    <t>Returned</t>
  </si>
  <si>
    <t>FLAT100</t>
  </si>
  <si>
    <t>ORD006</t>
  </si>
  <si>
    <t>2024-02-02</t>
  </si>
  <si>
    <t>ORD007</t>
  </si>
  <si>
    <t>2024-02-05</t>
  </si>
  <si>
    <t>ORD008</t>
  </si>
  <si>
    <t>2024-02-10</t>
  </si>
  <si>
    <t>SAVE10</t>
  </si>
  <si>
    <t>ORD009</t>
  </si>
  <si>
    <t>ORD010</t>
  </si>
  <si>
    <t>2024-02-18</t>
  </si>
  <si>
    <t>Cancelled</t>
  </si>
  <si>
    <t>ORD011</t>
  </si>
  <si>
    <t>2024-02-22</t>
  </si>
  <si>
    <t>ORD012</t>
  </si>
  <si>
    <t>2024-03-01</t>
  </si>
  <si>
    <t>ORD013</t>
  </si>
  <si>
    <t>2024-03-05</t>
  </si>
  <si>
    <t>ORD014</t>
  </si>
  <si>
    <t>2024-03-09</t>
  </si>
  <si>
    <t>MARCH20</t>
  </si>
  <si>
    <t>ORD015</t>
  </si>
  <si>
    <t>2024-03-15</t>
  </si>
  <si>
    <t>ORD016</t>
  </si>
  <si>
    <t>2024-03-20</t>
  </si>
  <si>
    <t>ORD017</t>
  </si>
  <si>
    <t>2024-03-25</t>
  </si>
  <si>
    <t>ORD018</t>
  </si>
  <si>
    <t>2024-04-02</t>
  </si>
  <si>
    <t>ORD019</t>
  </si>
  <si>
    <t>2024-04-07</t>
  </si>
  <si>
    <t>ORD020</t>
  </si>
  <si>
    <t>2024-04-11</t>
  </si>
  <si>
    <t>ORD021</t>
  </si>
  <si>
    <t>2024-04-16</t>
  </si>
  <si>
    <t>ORD022</t>
  </si>
  <si>
    <t>2024-04-20</t>
  </si>
  <si>
    <t>ORD023</t>
  </si>
  <si>
    <t>2024-04-25</t>
  </si>
  <si>
    <t>ORD024</t>
  </si>
  <si>
    <t>2024-05-03</t>
  </si>
  <si>
    <t>MAY10</t>
  </si>
  <si>
    <t>ORD025</t>
  </si>
  <si>
    <t>2024-05-08</t>
  </si>
  <si>
    <t>ORD026</t>
  </si>
  <si>
    <t>2024-05-12</t>
  </si>
  <si>
    <t>ORD027</t>
  </si>
  <si>
    <t>2024-05-16</t>
  </si>
  <si>
    <t>ORD028</t>
  </si>
  <si>
    <t>ORD029</t>
  </si>
  <si>
    <t>2024-05-25</t>
  </si>
  <si>
    <t>ORD030</t>
  </si>
  <si>
    <t>ORD031</t>
  </si>
  <si>
    <t>2024-06-05</t>
  </si>
  <si>
    <t>JUNE15</t>
  </si>
  <si>
    <t>ORD032</t>
  </si>
  <si>
    <t>2024-06-10</t>
  </si>
  <si>
    <t>ORD033</t>
  </si>
  <si>
    <t>2024-06-14</t>
  </si>
  <si>
    <t>ORD034</t>
  </si>
  <si>
    <t>2024-06-18</t>
  </si>
  <si>
    <t>ORD035</t>
  </si>
  <si>
    <t>2024-06-22</t>
  </si>
  <si>
    <t>ORD036</t>
  </si>
  <si>
    <t>2024-07-01</t>
  </si>
  <si>
    <t>ORD037</t>
  </si>
  <si>
    <t>2024-07-05</t>
  </si>
  <si>
    <t>ORD038</t>
  </si>
  <si>
    <t>2024-07-09</t>
  </si>
  <si>
    <t>ORD039</t>
  </si>
  <si>
    <t>2024-07-14</t>
  </si>
  <si>
    <t>ORD040</t>
  </si>
  <si>
    <t>2024-07-18</t>
  </si>
  <si>
    <t>ORD041</t>
  </si>
  <si>
    <t>2024-07-22</t>
  </si>
  <si>
    <t>ORD042</t>
  </si>
  <si>
    <t>2024-07-26</t>
  </si>
  <si>
    <t>ORD043</t>
  </si>
  <si>
    <t>2024-08-02</t>
  </si>
  <si>
    <t>ORD044</t>
  </si>
  <si>
    <t>2024-08-06</t>
  </si>
  <si>
    <t>ORD045</t>
  </si>
  <si>
    <t>2024-08-10</t>
  </si>
  <si>
    <t>ORD046</t>
  </si>
  <si>
    <t>2024-08-15</t>
  </si>
  <si>
    <t>ORD047</t>
  </si>
  <si>
    <t>2024-08-19</t>
  </si>
  <si>
    <t>ORD048</t>
  </si>
  <si>
    <t>2024-08-23</t>
  </si>
  <si>
    <t>ORD049</t>
  </si>
  <si>
    <t>2024-09-01</t>
  </si>
  <si>
    <t>ORD050</t>
  </si>
  <si>
    <t>2024-09-05</t>
  </si>
  <si>
    <t>SEPT10</t>
  </si>
  <si>
    <t>ORDER ID</t>
  </si>
  <si>
    <t>Customer Name</t>
  </si>
  <si>
    <t>City</t>
  </si>
  <si>
    <t>Order Status</t>
  </si>
  <si>
    <t>Total Amount</t>
  </si>
  <si>
    <t>Complaint Type</t>
  </si>
  <si>
    <t>Table: order_items</t>
  </si>
  <si>
    <t>~100 records · 1-3 items per order</t>
  </si>
  <si>
    <t>quantity</t>
  </si>
  <si>
    <t>unit_price</t>
  </si>
  <si>
    <t>Revenue</t>
  </si>
  <si>
    <t>SUM of Revenue</t>
  </si>
  <si>
    <t>Grand Total</t>
  </si>
  <si>
    <t>Table: complaints</t>
  </si>
  <si>
    <t>22 records</t>
  </si>
  <si>
    <t>complaint_id</t>
  </si>
  <si>
    <t>complaint_type</t>
  </si>
  <si>
    <t>raised_date</t>
  </si>
  <si>
    <t>resolved_date</t>
  </si>
  <si>
    <t>courier_partner</t>
  </si>
  <si>
    <t>CMP001</t>
  </si>
  <si>
    <t>Late Delivery</t>
  </si>
  <si>
    <t>2024-01-15</t>
  </si>
  <si>
    <t>2024-01-18</t>
  </si>
  <si>
    <t>BlueDart</t>
  </si>
  <si>
    <t>CMP002</t>
  </si>
  <si>
    <t>Wrong Item</t>
  </si>
  <si>
    <t>2024-01-28</t>
  </si>
  <si>
    <t>2024-02-01</t>
  </si>
  <si>
    <t>Delhivery</t>
  </si>
  <si>
    <t>CMP003</t>
  </si>
  <si>
    <t>Damaged Product</t>
  </si>
  <si>
    <t>2024-02-08</t>
  </si>
  <si>
    <t>2024-02-12</t>
  </si>
  <si>
    <t>Ekart</t>
  </si>
  <si>
    <t>CMP004</t>
  </si>
  <si>
    <t>2024-02-21</t>
  </si>
  <si>
    <t>2024-02-24</t>
  </si>
  <si>
    <t>CMP005</t>
  </si>
  <si>
    <t>Missing Item</t>
  </si>
  <si>
    <t>CMP006</t>
  </si>
  <si>
    <t>2024-03-18</t>
  </si>
  <si>
    <t>2024-03-22</t>
  </si>
  <si>
    <t>CMP007</t>
  </si>
  <si>
    <t>2024-04-01</t>
  </si>
  <si>
    <t>CMP008</t>
  </si>
  <si>
    <t>2024-04-10</t>
  </si>
  <si>
    <t>CMP009</t>
  </si>
  <si>
    <t>2024-04-19</t>
  </si>
  <si>
    <t>2024-04-21</t>
  </si>
  <si>
    <t>CMP010</t>
  </si>
  <si>
    <t>2024-04-27</t>
  </si>
  <si>
    <t>2024-04-30</t>
  </si>
  <si>
    <t>CMP011</t>
  </si>
  <si>
    <t>2024-05-15</t>
  </si>
  <si>
    <t>2024-05-19</t>
  </si>
  <si>
    <t>CMP012</t>
  </si>
  <si>
    <t>2024-05-28</t>
  </si>
  <si>
    <t>2024-06-02</t>
  </si>
  <si>
    <t>CMP013</t>
  </si>
  <si>
    <t>2024-06-08</t>
  </si>
  <si>
    <t>2024-06-12</t>
  </si>
  <si>
    <t>CMP014</t>
  </si>
  <si>
    <t>2024-06-17</t>
  </si>
  <si>
    <t>2024-06-19</t>
  </si>
  <si>
    <t>CMP015</t>
  </si>
  <si>
    <t>2024-06-25</t>
  </si>
  <si>
    <t>2024-06-29</t>
  </si>
  <si>
    <t>CMP016</t>
  </si>
  <si>
    <t>2024-07-08</t>
  </si>
  <si>
    <t>2024-07-11</t>
  </si>
  <si>
    <t>CMP017</t>
  </si>
  <si>
    <t>2024-07-17</t>
  </si>
  <si>
    <t>CMP018</t>
  </si>
  <si>
    <t>2024-07-25</t>
  </si>
  <si>
    <t>2024-07-27</t>
  </si>
  <si>
    <t>CMP019</t>
  </si>
  <si>
    <t>2024-08-05</t>
  </si>
  <si>
    <t>CMP020</t>
  </si>
  <si>
    <t>2024-08-13</t>
  </si>
  <si>
    <t>2024-08-16</t>
  </si>
  <si>
    <t>CMP021</t>
  </si>
  <si>
    <t>2024-08-22</t>
  </si>
  <si>
    <t>2024-08-26</t>
  </si>
  <si>
    <t>CMP022</t>
  </si>
  <si>
    <t>2024-09-04</t>
  </si>
  <si>
    <t>2024-09-07</t>
  </si>
  <si>
    <t>Total_Spend</t>
  </si>
  <si>
    <t>Status</t>
  </si>
  <si>
    <t>SUM of total_amount</t>
  </si>
  <si>
    <t>COUNTA of order_id</t>
  </si>
  <si>
    <t>AVERAGE of total_amount</t>
  </si>
  <si>
    <t>COUNTA of order_status</t>
  </si>
  <si>
    <t>Total Revenue</t>
  </si>
  <si>
    <t>Total Orders</t>
  </si>
  <si>
    <t>Average Order Value</t>
  </si>
  <si>
    <t>Delivery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</si>
</sst>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1A3A5C"/>
      <name val="Arial"/>
    </font>
    <font>
      <sz val="10.0"/>
      <color rgb="FF000000"/>
      <name val="Arial"/>
    </font>
    <font>
      <sz val="10.0"/>
      <color rgb="FF444444"/>
      <name val="Arial"/>
    </font>
    <font>
      <b/>
      <sz val="11.0"/>
      <color rgb="FF1A3A5C"/>
      <name val="Arial"/>
    </font>
    <font>
      <sz val="10.0"/>
      <color rgb="FF333333"/>
      <name val="Arial"/>
    </font>
    <font>
      <sz val="10.0"/>
      <color rgb="FF666666"/>
      <name val="Arial"/>
    </font>
    <font>
      <b/>
      <sz val="13.0"/>
      <color rgb="FF1A3A5C"/>
      <name val="Arial"/>
    </font>
    <font>
      <i/>
      <sz val="9.0"/>
      <color rgb="FF666666"/>
      <name val="Arial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FFFFF"/>
        <bgColor rgb="FFFFFFFF"/>
      </patternFill>
    </fill>
    <fill>
      <patternFill patternType="solid">
        <fgColor rgb="FFEBF2FA"/>
        <bgColor rgb="FFEBF2FA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2" fontId="9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horizontal="left" vertical="center"/>
    </xf>
    <xf borderId="1" fillId="4" fontId="10" numFmtId="0" xfId="0" applyAlignment="1" applyBorder="1" applyFill="1" applyFont="1">
      <alignment horizontal="left" vertical="center"/>
    </xf>
    <xf borderId="1" fillId="2" fontId="9" numFmtId="0" xfId="0" applyAlignment="1" applyBorder="1" applyFont="1">
      <alignment horizontal="left" vertical="center"/>
    </xf>
    <xf borderId="0" fillId="0" fontId="11" numFmtId="0" xfId="0" applyFont="1"/>
    <xf borderId="0" fillId="0" fontId="11" numFmtId="4" xfId="0" applyFont="1" applyNumberFormat="1"/>
    <xf borderId="0" fillId="0" fontId="11" numFmtId="0" xfId="0" applyAlignment="1" applyFont="1">
      <alignment readingOrder="0"/>
    </xf>
    <xf borderId="1" fillId="2" fontId="9" numFmtId="0" xfId="0" applyAlignment="1" applyBorder="1" applyFont="1">
      <alignment horizontal="left" readingOrder="0" vertical="center"/>
    </xf>
    <xf borderId="0" fillId="0" fontId="1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E107" sheet="order_items"/>
  </cacheSource>
  <cacheFields>
    <cacheField name="order_id" numFmtId="0">
      <sharedItems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</sharedItems>
    </cacheField>
    <cacheField name="product_id" numFmtId="0">
      <sharedItems>
        <s v="P01"/>
        <s v="P02"/>
        <s v="P09"/>
        <s v="P03"/>
        <s v="P06"/>
        <s v="P04"/>
        <s v="P07"/>
        <s v="P10"/>
        <s v="P05"/>
        <s v="P08"/>
      </sharedItems>
    </cacheField>
    <cacheField name="quantity" numFmtId="0">
      <sharedItems containsSemiMixedTypes="0" containsString="0" containsNumber="1" containsInteger="1">
        <n v="1.0"/>
        <n v="2.0"/>
      </sharedItems>
    </cacheField>
    <cacheField name="unit_price" numFmtId="0">
      <sharedItems containsSemiMixedTypes="0" containsString="0" containsNumber="1" containsInteger="1">
        <n v="1899.0"/>
        <n v="599.0"/>
        <n v="449.0"/>
        <n v="799.0"/>
        <n v="349.0"/>
        <n v="1999.0"/>
        <n v="1199.0"/>
        <n v="499.0"/>
        <n v="849.0"/>
      </sharedItems>
    </cacheField>
    <cacheField name="Revenue" numFmtId="0">
      <sharedItems containsSemiMixedTypes="0" containsString="0" containsNumber="1" containsInteger="1">
        <n v="1899.0"/>
        <n v="599.0"/>
        <n v="449.0"/>
        <n v="1598.0"/>
        <n v="349.0"/>
        <n v="1999.0"/>
        <n v="1199.0"/>
        <n v="998.0"/>
        <n v="849.0"/>
        <n v="799.0"/>
        <n v="698.0"/>
        <n v="499.0"/>
        <n v="1198.0"/>
        <n v="89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1" sheet="UpdatedOrders"/>
  </cacheSource>
  <cacheFields>
    <cacheField name="order_id" numFmtId="0">
      <sharedItems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</sharedItems>
    </cacheField>
    <cacheField name="customer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</sharedItems>
    </cacheField>
    <cacheField name="order_date" numFmtId="0">
      <sharedItems>
        <s v="2024-01-05"/>
        <s v="2024-01-08"/>
        <s v="2024-01-12"/>
        <s v="2024-01-20"/>
        <s v="2024-01-25"/>
        <s v="2024-02-02"/>
        <s v="2024-02-05"/>
        <s v="2024-02-10"/>
        <s v="2024-02-14"/>
        <s v="2024-02-18"/>
        <s v="2024-02-22"/>
        <s v="2024-03-01"/>
        <s v="2024-03-05"/>
        <s v="2024-03-09"/>
        <s v="2024-03-15"/>
        <s v="2024-03-20"/>
        <s v="2024-03-25"/>
        <s v="2024-04-02"/>
        <s v="2024-04-07"/>
        <s v="2024-04-11"/>
        <s v="2024-04-16"/>
        <s v="2024-04-20"/>
        <s v="2024-04-25"/>
        <s v="2024-05-03"/>
        <s v="2024-05-08"/>
        <s v="2024-05-12"/>
        <s v="2024-05-16"/>
        <s v="2024-05-20"/>
        <s v="2024-05-25"/>
        <s v="2024-06-01"/>
        <s v="2024-06-05"/>
        <s v="2024-06-10"/>
        <s v="2024-06-14"/>
        <s v="2024-06-18"/>
        <s v="2024-06-22"/>
        <s v="2024-07-01"/>
        <s v="2024-07-05"/>
        <s v="2024-07-09"/>
        <s v="2024-07-14"/>
        <s v="2024-07-18"/>
        <s v="2024-07-22"/>
        <s v="2024-07-26"/>
        <s v="2024-08-02"/>
        <s v="2024-08-06"/>
        <s v="2024-08-10"/>
        <s v="2024-08-15"/>
        <s v="2024-08-19"/>
        <s v="2024-08-23"/>
        <s v="2024-09-01"/>
        <s v="2024-09-05"/>
      </sharedItems>
    </cacheField>
    <cacheField name="order_status" numFmtId="0">
      <sharedItems>
        <s v="Delivered"/>
        <s v="Returned"/>
        <s v="Cancelled"/>
      </sharedItems>
    </cacheField>
    <cacheField name="total_amount" numFmtId="0">
      <sharedItems containsSemiMixedTypes="0" containsString="0" containsNumber="1" containsInteger="1">
        <n v="2450.0"/>
        <n v="1890.0"/>
        <n v="3200.0"/>
        <n v="980.0"/>
        <n v="1540.0"/>
        <n v="2100.0"/>
        <n v="870.0"/>
        <n v="1650.0"/>
        <n v="3400.0"/>
        <n v="760.0"/>
        <n v="1200.0"/>
        <n v="2800.0"/>
        <n v="1430.0"/>
        <n v="990.0"/>
        <n v="1760.0"/>
        <n v="3100.0"/>
        <n v="1300.0"/>
        <n v="2900.0"/>
        <n v="880.0"/>
        <n v="1550.0"/>
        <n v="640.0"/>
        <n v="2200.0"/>
        <n v="3600.0"/>
        <n v="1470.0"/>
        <n v="2050.0"/>
        <n v="1900.0"/>
        <n v="830.0"/>
        <n v="2650.0"/>
        <n v="1780.0"/>
        <n v="1230.0"/>
        <n v="2400.0"/>
        <n v="1100.0"/>
        <n v="2980.0"/>
        <n v="890.0"/>
        <n v="1350.0"/>
        <n v="2500.0"/>
        <n v="1450.0"/>
      </sharedItems>
    </cacheField>
    <cacheField name="coupon_code" numFmtId="0">
      <sharedItems containsBlank="1">
        <s v="NEWYEAR10"/>
        <m/>
        <s v="WELCOME15"/>
        <s v="FLAT100"/>
        <s v="SAVE10"/>
        <s v="MARCH20"/>
        <s v="MAY10"/>
        <s v="JUNE15"/>
        <s v="SEPT10"/>
      </sharedItems>
    </cacheField>
    <cacheField name="City" numFmtId="0">
      <sharedItems>
        <s v="Mumbai"/>
        <s v="Delhi"/>
        <s v="Ahmedabad"/>
        <s v="Surat"/>
        <s v="Bangalore"/>
        <s v="Chennai"/>
        <s v="Hyderabad"/>
        <s v="Pune"/>
        <s v="Kochi"/>
        <s v="Jaipur"/>
        <s v="Luckn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52" firstHeaderRow="0" firstDataRow="1" firstDataCol="0"/>
  <pivotFields>
    <pivotField name="order_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0"/>
  </rowFields>
  <dataFields>
    <dataField name="SUM of Revenue" fld="4" baseField="0"/>
  </dataFields>
</pivotTableDefinition>
</file>

<file path=xl/pivotTables/pivotTable2.xml><?xml version="1.0" encoding="utf-8"?>
<pivotTableDefinition xmlns="http://schemas.openxmlformats.org/spreadsheetml/2006/main" name="Dashboard" cacheId="1" dataCaption="" compact="0" compactData="0">
  <location ref="A3:E7" firstHeaderRow="0" firstDataRow="2" firstDataCol="0" rowPageCount="1" colPageCount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rder_status" axis="axisRow" dataField="1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oupon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ity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3"/>
  </rowFields>
  <colFields>
    <field x="-2"/>
  </colFields>
  <pageFields>
    <pageField fld="6"/>
  </pageFields>
  <dataFields>
    <dataField name="SUM of total_amount" fld="4" baseField="0"/>
    <dataField name="COUNTA of order_id" fld="0" subtotal="count" baseField="0"/>
    <dataField name="AVERAGE of total_amount" fld="4" subtotal="average" baseField="0"/>
    <dataField name="COUNTA of order_status" fld="3" subtotal="count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2" ht="15.75" customHeight="1">
      <c r="A2" s="1" t="s">
        <v>0</v>
      </c>
    </row>
    <row r="3" ht="15.75" customHeight="1">
      <c r="A3" s="2"/>
    </row>
    <row r="4" ht="15.75" customHeight="1">
      <c r="A4" s="3" t="s">
        <v>1</v>
      </c>
    </row>
    <row r="5" ht="15.75" customHeight="1">
      <c r="A5" s="3" t="s">
        <v>2</v>
      </c>
    </row>
    <row r="6" ht="15.75" customHeight="1">
      <c r="A6" s="2"/>
    </row>
    <row r="7" ht="15.75" customHeight="1">
      <c r="A7" s="4" t="s">
        <v>3</v>
      </c>
    </row>
    <row r="8" ht="15.75" customHeight="1">
      <c r="A8" s="5" t="s">
        <v>4</v>
      </c>
    </row>
    <row r="9" ht="15.75" customHeight="1">
      <c r="A9" s="5" t="s">
        <v>5</v>
      </c>
    </row>
    <row r="10" ht="15.75" customHeight="1">
      <c r="A10" s="5" t="s">
        <v>6</v>
      </c>
    </row>
    <row r="11" ht="15.75" customHeight="1">
      <c r="A11" s="5" t="s">
        <v>7</v>
      </c>
    </row>
    <row r="12" ht="15.75" customHeight="1">
      <c r="A12" s="5" t="s">
        <v>8</v>
      </c>
    </row>
    <row r="13" ht="15.75" customHeight="1">
      <c r="A13" s="2"/>
    </row>
    <row r="14" ht="15.75" customHeight="1">
      <c r="A14" s="6" t="s">
        <v>9</v>
      </c>
    </row>
    <row r="15" ht="15.75" customHeight="1">
      <c r="A15" s="6" t="s">
        <v>10</v>
      </c>
    </row>
    <row r="16" ht="15.75" customHeight="1">
      <c r="A16" s="6" t="s">
        <v>11</v>
      </c>
    </row>
    <row r="17" ht="15.75" customHeight="1">
      <c r="A17" s="6" t="s">
        <v>12</v>
      </c>
    </row>
    <row r="18" ht="15.75" customHeight="1">
      <c r="A18" s="6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14.0"/>
    <col customWidth="1" min="4" max="4" width="18.0"/>
    <col customWidth="1" min="5" max="5" width="14.0"/>
    <col customWidth="1" min="6" max="26" width="8.71"/>
  </cols>
  <sheetData>
    <row r="1" ht="13.5" customHeight="1">
      <c r="A1" s="7" t="s">
        <v>14</v>
      </c>
      <c r="B1" s="8" t="s">
        <v>15</v>
      </c>
    </row>
    <row r="2" ht="18.0" customHeight="1">
      <c r="A2" s="9" t="s">
        <v>16</v>
      </c>
      <c r="B2" s="9" t="s">
        <v>17</v>
      </c>
      <c r="C2" s="9" t="s">
        <v>18</v>
      </c>
      <c r="D2" s="9" t="s">
        <v>19</v>
      </c>
      <c r="E2" s="9" t="s">
        <v>20</v>
      </c>
    </row>
    <row r="3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</row>
    <row r="4">
      <c r="A4" s="11" t="s">
        <v>26</v>
      </c>
      <c r="B4" s="11" t="s">
        <v>27</v>
      </c>
      <c r="C4" s="11" t="s">
        <v>28</v>
      </c>
      <c r="D4" s="11" t="s">
        <v>29</v>
      </c>
      <c r="E4" s="11" t="s">
        <v>30</v>
      </c>
    </row>
    <row r="5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</row>
    <row r="6">
      <c r="A6" s="11" t="s">
        <v>36</v>
      </c>
      <c r="B6" s="11" t="s">
        <v>37</v>
      </c>
      <c r="C6" s="11" t="s">
        <v>38</v>
      </c>
      <c r="D6" s="11" t="s">
        <v>24</v>
      </c>
      <c r="E6" s="11" t="s">
        <v>39</v>
      </c>
    </row>
    <row r="7">
      <c r="A7" s="10" t="s">
        <v>40</v>
      </c>
      <c r="B7" s="10" t="s">
        <v>41</v>
      </c>
      <c r="C7" s="10" t="s">
        <v>42</v>
      </c>
      <c r="D7" s="10" t="s">
        <v>43</v>
      </c>
      <c r="E7" s="10" t="s">
        <v>44</v>
      </c>
    </row>
    <row r="8">
      <c r="A8" s="11" t="s">
        <v>45</v>
      </c>
      <c r="B8" s="11" t="s">
        <v>46</v>
      </c>
      <c r="C8" s="11" t="s">
        <v>47</v>
      </c>
      <c r="D8" s="11" t="s">
        <v>48</v>
      </c>
      <c r="E8" s="11" t="s">
        <v>49</v>
      </c>
    </row>
    <row r="9">
      <c r="A9" s="10" t="s">
        <v>50</v>
      </c>
      <c r="B9" s="10" t="s">
        <v>51</v>
      </c>
      <c r="C9" s="10" t="s">
        <v>52</v>
      </c>
      <c r="D9" s="10" t="s">
        <v>29</v>
      </c>
      <c r="E9" s="10" t="s">
        <v>53</v>
      </c>
    </row>
    <row r="10">
      <c r="A10" s="11" t="s">
        <v>54</v>
      </c>
      <c r="B10" s="11" t="s">
        <v>55</v>
      </c>
      <c r="C10" s="11" t="s">
        <v>56</v>
      </c>
      <c r="D10" s="11" t="s">
        <v>34</v>
      </c>
      <c r="E10" s="11" t="s">
        <v>57</v>
      </c>
    </row>
    <row r="11">
      <c r="A11" s="10" t="s">
        <v>58</v>
      </c>
      <c r="B11" s="10" t="s">
        <v>59</v>
      </c>
      <c r="C11" s="10" t="s">
        <v>60</v>
      </c>
      <c r="D11" s="10" t="s">
        <v>24</v>
      </c>
      <c r="E11" s="10" t="s">
        <v>61</v>
      </c>
    </row>
    <row r="12">
      <c r="A12" s="11" t="s">
        <v>62</v>
      </c>
      <c r="B12" s="11" t="s">
        <v>63</v>
      </c>
      <c r="C12" s="11" t="s">
        <v>64</v>
      </c>
      <c r="D12" s="11" t="s">
        <v>43</v>
      </c>
      <c r="E12" s="11" t="s">
        <v>65</v>
      </c>
    </row>
    <row r="13">
      <c r="A13" s="10" t="s">
        <v>66</v>
      </c>
      <c r="B13" s="10" t="s">
        <v>67</v>
      </c>
      <c r="C13" s="10" t="s">
        <v>33</v>
      </c>
      <c r="D13" s="10" t="s">
        <v>48</v>
      </c>
      <c r="E13" s="10" t="s">
        <v>68</v>
      </c>
    </row>
    <row r="14">
      <c r="A14" s="11" t="s">
        <v>69</v>
      </c>
      <c r="B14" s="11" t="s">
        <v>70</v>
      </c>
      <c r="C14" s="11" t="s">
        <v>23</v>
      </c>
      <c r="D14" s="11" t="s">
        <v>29</v>
      </c>
      <c r="E14" s="11" t="s">
        <v>71</v>
      </c>
    </row>
    <row r="15">
      <c r="A15" s="10" t="s">
        <v>72</v>
      </c>
      <c r="B15" s="10" t="s">
        <v>73</v>
      </c>
      <c r="C15" s="10" t="s">
        <v>28</v>
      </c>
      <c r="D15" s="10" t="s">
        <v>24</v>
      </c>
      <c r="E15" s="10" t="s">
        <v>74</v>
      </c>
    </row>
    <row r="16">
      <c r="A16" s="11" t="s">
        <v>75</v>
      </c>
      <c r="B16" s="11" t="s">
        <v>76</v>
      </c>
      <c r="C16" s="11" t="s">
        <v>38</v>
      </c>
      <c r="D16" s="11" t="s">
        <v>34</v>
      </c>
      <c r="E16" s="11" t="s">
        <v>77</v>
      </c>
    </row>
    <row r="17">
      <c r="A17" s="10" t="s">
        <v>78</v>
      </c>
      <c r="B17" s="10" t="s">
        <v>79</v>
      </c>
      <c r="C17" s="10" t="s">
        <v>42</v>
      </c>
      <c r="D17" s="10" t="s">
        <v>29</v>
      </c>
      <c r="E17" s="10" t="s">
        <v>80</v>
      </c>
    </row>
    <row r="18">
      <c r="A18" s="11" t="s">
        <v>81</v>
      </c>
      <c r="B18" s="11" t="s">
        <v>82</v>
      </c>
      <c r="C18" s="11" t="s">
        <v>52</v>
      </c>
      <c r="D18" s="11" t="s">
        <v>24</v>
      </c>
      <c r="E18" s="11" t="s">
        <v>83</v>
      </c>
    </row>
    <row r="19">
      <c r="A19" s="10" t="s">
        <v>84</v>
      </c>
      <c r="B19" s="10" t="s">
        <v>85</v>
      </c>
      <c r="C19" s="10" t="s">
        <v>33</v>
      </c>
      <c r="D19" s="10" t="s">
        <v>34</v>
      </c>
      <c r="E19" s="10" t="s">
        <v>86</v>
      </c>
    </row>
    <row r="20">
      <c r="A20" s="11" t="s">
        <v>87</v>
      </c>
      <c r="B20" s="11" t="s">
        <v>88</v>
      </c>
      <c r="C20" s="11" t="s">
        <v>89</v>
      </c>
      <c r="D20" s="11" t="s">
        <v>43</v>
      </c>
      <c r="E20" s="11" t="s">
        <v>90</v>
      </c>
    </row>
    <row r="21" ht="15.75" customHeight="1">
      <c r="A21" s="10" t="s">
        <v>91</v>
      </c>
      <c r="B21" s="10" t="s">
        <v>92</v>
      </c>
      <c r="C21" s="10" t="s">
        <v>64</v>
      </c>
      <c r="D21" s="10" t="s">
        <v>48</v>
      </c>
      <c r="E21" s="10" t="s">
        <v>93</v>
      </c>
    </row>
    <row r="22" ht="15.75" customHeight="1">
      <c r="A22" s="11" t="s">
        <v>94</v>
      </c>
      <c r="B22" s="11" t="s">
        <v>95</v>
      </c>
      <c r="C22" s="11" t="s">
        <v>23</v>
      </c>
      <c r="D22" s="11" t="s">
        <v>29</v>
      </c>
      <c r="E22" s="11" t="s">
        <v>96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14.0"/>
    <col customWidth="1" min="5" max="26" width="8.71"/>
  </cols>
  <sheetData>
    <row r="1" ht="13.5" customHeight="1">
      <c r="A1" s="7" t="s">
        <v>97</v>
      </c>
      <c r="B1" s="8" t="s">
        <v>98</v>
      </c>
    </row>
    <row r="2" ht="18.0" customHeight="1">
      <c r="A2" s="9" t="s">
        <v>99</v>
      </c>
      <c r="B2" s="9" t="s">
        <v>100</v>
      </c>
      <c r="C2" s="9" t="s">
        <v>101</v>
      </c>
      <c r="D2" s="9" t="s">
        <v>102</v>
      </c>
    </row>
    <row r="3">
      <c r="A3" s="10" t="s">
        <v>103</v>
      </c>
      <c r="B3" s="10" t="s">
        <v>104</v>
      </c>
      <c r="C3" s="10" t="s">
        <v>105</v>
      </c>
      <c r="D3" s="10">
        <v>850.0</v>
      </c>
    </row>
    <row r="4">
      <c r="A4" s="11" t="s">
        <v>106</v>
      </c>
      <c r="B4" s="11" t="s">
        <v>107</v>
      </c>
      <c r="C4" s="11" t="s">
        <v>108</v>
      </c>
      <c r="D4" s="11">
        <v>320.0</v>
      </c>
    </row>
    <row r="5">
      <c r="A5" s="10" t="s">
        <v>109</v>
      </c>
      <c r="B5" s="10" t="s">
        <v>110</v>
      </c>
      <c r="C5" s="10" t="s">
        <v>111</v>
      </c>
      <c r="D5" s="10">
        <v>480.0</v>
      </c>
    </row>
    <row r="6">
      <c r="A6" s="11" t="s">
        <v>112</v>
      </c>
      <c r="B6" s="11" t="s">
        <v>113</v>
      </c>
      <c r="C6" s="11" t="s">
        <v>105</v>
      </c>
      <c r="D6" s="11">
        <v>1100.0</v>
      </c>
    </row>
    <row r="7">
      <c r="A7" s="10" t="s">
        <v>114</v>
      </c>
      <c r="B7" s="10" t="s">
        <v>115</v>
      </c>
      <c r="C7" s="10" t="s">
        <v>105</v>
      </c>
      <c r="D7" s="10">
        <v>620.0</v>
      </c>
    </row>
    <row r="8">
      <c r="A8" s="11" t="s">
        <v>116</v>
      </c>
      <c r="B8" s="11" t="s">
        <v>117</v>
      </c>
      <c r="C8" s="11" t="s">
        <v>108</v>
      </c>
      <c r="D8" s="11">
        <v>210.0</v>
      </c>
    </row>
    <row r="9">
      <c r="A9" s="10" t="s">
        <v>118</v>
      </c>
      <c r="B9" s="10" t="s">
        <v>119</v>
      </c>
      <c r="C9" s="10" t="s">
        <v>120</v>
      </c>
      <c r="D9" s="10">
        <v>750.0</v>
      </c>
    </row>
    <row r="10">
      <c r="A10" s="11" t="s">
        <v>121</v>
      </c>
      <c r="B10" s="11" t="s">
        <v>122</v>
      </c>
      <c r="C10" s="11" t="s">
        <v>123</v>
      </c>
      <c r="D10" s="11">
        <v>540.0</v>
      </c>
    </row>
    <row r="11">
      <c r="A11" s="10" t="s">
        <v>124</v>
      </c>
      <c r="B11" s="10" t="s">
        <v>125</v>
      </c>
      <c r="C11" s="10" t="s">
        <v>123</v>
      </c>
      <c r="D11" s="10">
        <v>280.0</v>
      </c>
    </row>
    <row r="12">
      <c r="A12" s="11" t="s">
        <v>126</v>
      </c>
      <c r="B12" s="11" t="s">
        <v>127</v>
      </c>
      <c r="C12" s="11" t="s">
        <v>120</v>
      </c>
      <c r="D12" s="11">
        <v>390.0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4" width="14.0"/>
    <col customWidth="1" min="5" max="6" width="16.0"/>
    <col customWidth="1" min="7" max="8" width="8.71"/>
    <col customWidth="1" min="9" max="9" width="13.57"/>
    <col customWidth="1" min="10" max="26" width="8.71"/>
  </cols>
  <sheetData>
    <row r="1" ht="13.5" customHeight="1">
      <c r="A1" s="7" t="s">
        <v>128</v>
      </c>
      <c r="B1" s="8" t="s">
        <v>129</v>
      </c>
    </row>
    <row r="2" ht="18.0" customHeight="1">
      <c r="A2" s="9" t="s">
        <v>130</v>
      </c>
      <c r="B2" s="9" t="s">
        <v>16</v>
      </c>
      <c r="C2" s="9" t="s">
        <v>131</v>
      </c>
      <c r="D2" s="9" t="s">
        <v>132</v>
      </c>
      <c r="E2" s="9" t="s">
        <v>133</v>
      </c>
      <c r="F2" s="9" t="s">
        <v>134</v>
      </c>
      <c r="G2" s="12" t="s">
        <v>135</v>
      </c>
      <c r="H2" s="12" t="s">
        <v>136</v>
      </c>
      <c r="I2" s="12" t="s">
        <v>137</v>
      </c>
      <c r="J2" s="12" t="s">
        <v>138</v>
      </c>
    </row>
    <row r="3">
      <c r="A3" s="10" t="s">
        <v>139</v>
      </c>
      <c r="B3" s="10" t="s">
        <v>21</v>
      </c>
      <c r="C3" s="10" t="s">
        <v>140</v>
      </c>
      <c r="D3" s="10" t="s">
        <v>141</v>
      </c>
      <c r="E3" s="10">
        <v>2450.0</v>
      </c>
      <c r="F3" s="10" t="s">
        <v>142</v>
      </c>
      <c r="G3" s="13" t="str">
        <f t="shared" ref="G3:G52" si="1">text(datevalue(C3),"dd-mm-yyyy")</f>
        <v>05-01-2024</v>
      </c>
      <c r="H3" s="13" t="str">
        <f t="shared" ref="H3:H52" si="2">text(DATEVALUE(C3),"mmmm")</f>
        <v>January</v>
      </c>
      <c r="I3" s="14">
        <f t="shared" ref="I3:I52" si="3">today()-Datevalue(C3)</f>
        <v>822</v>
      </c>
      <c r="J3" s="13" t="str">
        <f t="shared" ref="J3:J52" si="4">if(I3="","",if(today()-datevalue(G3)&gt;180,"Archive","Active"))</f>
        <v>Archive</v>
      </c>
    </row>
    <row r="4">
      <c r="A4" s="11" t="s">
        <v>143</v>
      </c>
      <c r="B4" s="11" t="s">
        <v>26</v>
      </c>
      <c r="C4" s="11" t="s">
        <v>144</v>
      </c>
      <c r="D4" s="11" t="s">
        <v>141</v>
      </c>
      <c r="E4" s="11">
        <v>1890.0</v>
      </c>
      <c r="F4" s="11"/>
      <c r="G4" s="13" t="str">
        <f t="shared" si="1"/>
        <v>08-01-2024</v>
      </c>
      <c r="H4" s="13" t="str">
        <f t="shared" si="2"/>
        <v>January</v>
      </c>
      <c r="I4" s="14">
        <f t="shared" si="3"/>
        <v>819</v>
      </c>
      <c r="J4" s="13" t="str">
        <f t="shared" si="4"/>
        <v>Archive</v>
      </c>
    </row>
    <row r="5">
      <c r="A5" s="10" t="s">
        <v>145</v>
      </c>
      <c r="B5" s="10" t="s">
        <v>31</v>
      </c>
      <c r="C5" s="10" t="s">
        <v>146</v>
      </c>
      <c r="D5" s="10" t="s">
        <v>141</v>
      </c>
      <c r="E5" s="10">
        <v>3200.0</v>
      </c>
      <c r="F5" s="10" t="s">
        <v>147</v>
      </c>
      <c r="G5" s="13" t="str">
        <f t="shared" si="1"/>
        <v>12-01-2024</v>
      </c>
      <c r="H5" s="13" t="str">
        <f t="shared" si="2"/>
        <v>January</v>
      </c>
      <c r="I5" s="14">
        <f t="shared" si="3"/>
        <v>815</v>
      </c>
      <c r="J5" s="13" t="str">
        <f t="shared" si="4"/>
        <v>Archive</v>
      </c>
    </row>
    <row r="6">
      <c r="A6" s="11" t="s">
        <v>148</v>
      </c>
      <c r="B6" s="11" t="s">
        <v>21</v>
      </c>
      <c r="C6" s="11" t="s">
        <v>149</v>
      </c>
      <c r="D6" s="11" t="s">
        <v>141</v>
      </c>
      <c r="E6" s="11">
        <v>980.0</v>
      </c>
      <c r="F6" s="11"/>
      <c r="G6" s="13" t="str">
        <f t="shared" si="1"/>
        <v>20-01-2024</v>
      </c>
      <c r="H6" s="13" t="str">
        <f t="shared" si="2"/>
        <v>January</v>
      </c>
      <c r="I6" s="14">
        <f t="shared" si="3"/>
        <v>807</v>
      </c>
      <c r="J6" s="13" t="str">
        <f t="shared" si="4"/>
        <v>Archive</v>
      </c>
    </row>
    <row r="7">
      <c r="A7" s="10" t="s">
        <v>150</v>
      </c>
      <c r="B7" s="10" t="s">
        <v>36</v>
      </c>
      <c r="C7" s="10" t="s">
        <v>151</v>
      </c>
      <c r="D7" s="10" t="s">
        <v>152</v>
      </c>
      <c r="E7" s="10">
        <v>1540.0</v>
      </c>
      <c r="F7" s="10" t="s">
        <v>153</v>
      </c>
      <c r="G7" s="13" t="str">
        <f t="shared" si="1"/>
        <v>25-01-2024</v>
      </c>
      <c r="H7" s="13" t="str">
        <f t="shared" si="2"/>
        <v>January</v>
      </c>
      <c r="I7" s="14">
        <f t="shared" si="3"/>
        <v>802</v>
      </c>
      <c r="J7" s="13" t="str">
        <f t="shared" si="4"/>
        <v>Archive</v>
      </c>
    </row>
    <row r="8">
      <c r="A8" s="11" t="s">
        <v>154</v>
      </c>
      <c r="B8" s="11" t="s">
        <v>40</v>
      </c>
      <c r="C8" s="11" t="s">
        <v>155</v>
      </c>
      <c r="D8" s="11" t="s">
        <v>141</v>
      </c>
      <c r="E8" s="11">
        <v>2100.0</v>
      </c>
      <c r="F8" s="11"/>
      <c r="G8" s="13" t="str">
        <f t="shared" si="1"/>
        <v>02-02-2024</v>
      </c>
      <c r="H8" s="13" t="str">
        <f t="shared" si="2"/>
        <v>February</v>
      </c>
      <c r="I8" s="14">
        <f t="shared" si="3"/>
        <v>794</v>
      </c>
      <c r="J8" s="13" t="str">
        <f t="shared" si="4"/>
        <v>Archive</v>
      </c>
    </row>
    <row r="9">
      <c r="A9" s="10" t="s">
        <v>156</v>
      </c>
      <c r="B9" s="10" t="s">
        <v>45</v>
      </c>
      <c r="C9" s="10" t="s">
        <v>157</v>
      </c>
      <c r="D9" s="10" t="s">
        <v>141</v>
      </c>
      <c r="E9" s="10">
        <v>870.0</v>
      </c>
      <c r="F9" s="10"/>
      <c r="G9" s="13" t="str">
        <f t="shared" si="1"/>
        <v>05-02-2024</v>
      </c>
      <c r="H9" s="13" t="str">
        <f t="shared" si="2"/>
        <v>February</v>
      </c>
      <c r="I9" s="14">
        <f t="shared" si="3"/>
        <v>791</v>
      </c>
      <c r="J9" s="13" t="str">
        <f t="shared" si="4"/>
        <v>Archive</v>
      </c>
    </row>
    <row r="10">
      <c r="A10" s="11" t="s">
        <v>158</v>
      </c>
      <c r="B10" s="11" t="s">
        <v>31</v>
      </c>
      <c r="C10" s="11" t="s">
        <v>159</v>
      </c>
      <c r="D10" s="11" t="s">
        <v>141</v>
      </c>
      <c r="E10" s="11">
        <v>1650.0</v>
      </c>
      <c r="F10" s="11" t="s">
        <v>160</v>
      </c>
      <c r="G10" s="13" t="str">
        <f t="shared" si="1"/>
        <v>10-02-2024</v>
      </c>
      <c r="H10" s="13" t="str">
        <f t="shared" si="2"/>
        <v>February</v>
      </c>
      <c r="I10" s="14">
        <f t="shared" si="3"/>
        <v>786</v>
      </c>
      <c r="J10" s="13" t="str">
        <f t="shared" si="4"/>
        <v>Archive</v>
      </c>
    </row>
    <row r="11">
      <c r="A11" s="10" t="s">
        <v>161</v>
      </c>
      <c r="B11" s="10" t="s">
        <v>50</v>
      </c>
      <c r="C11" s="10" t="s">
        <v>77</v>
      </c>
      <c r="D11" s="10" t="s">
        <v>141</v>
      </c>
      <c r="E11" s="10">
        <v>3400.0</v>
      </c>
      <c r="F11" s="10"/>
      <c r="G11" s="13" t="str">
        <f t="shared" si="1"/>
        <v>14-02-2024</v>
      </c>
      <c r="H11" s="13" t="str">
        <f t="shared" si="2"/>
        <v>February</v>
      </c>
      <c r="I11" s="14">
        <f t="shared" si="3"/>
        <v>782</v>
      </c>
      <c r="J11" s="13" t="str">
        <f t="shared" si="4"/>
        <v>Archive</v>
      </c>
    </row>
    <row r="12">
      <c r="A12" s="11" t="s">
        <v>162</v>
      </c>
      <c r="B12" s="11" t="s">
        <v>26</v>
      </c>
      <c r="C12" s="11" t="s">
        <v>163</v>
      </c>
      <c r="D12" s="11" t="s">
        <v>164</v>
      </c>
      <c r="E12" s="11">
        <v>760.0</v>
      </c>
      <c r="F12" s="11"/>
      <c r="G12" s="13" t="str">
        <f t="shared" si="1"/>
        <v>18-02-2024</v>
      </c>
      <c r="H12" s="13" t="str">
        <f t="shared" si="2"/>
        <v>February</v>
      </c>
      <c r="I12" s="14">
        <f t="shared" si="3"/>
        <v>778</v>
      </c>
      <c r="J12" s="13" t="str">
        <f t="shared" si="4"/>
        <v>Archive</v>
      </c>
    </row>
    <row r="13">
      <c r="A13" s="10" t="s">
        <v>165</v>
      </c>
      <c r="B13" s="10" t="s">
        <v>54</v>
      </c>
      <c r="C13" s="10" t="s">
        <v>166</v>
      </c>
      <c r="D13" s="10" t="s">
        <v>141</v>
      </c>
      <c r="E13" s="10">
        <v>1200.0</v>
      </c>
      <c r="F13" s="10" t="s">
        <v>153</v>
      </c>
      <c r="G13" s="13" t="str">
        <f t="shared" si="1"/>
        <v>22-02-2024</v>
      </c>
      <c r="H13" s="13" t="str">
        <f t="shared" si="2"/>
        <v>February</v>
      </c>
      <c r="I13" s="14">
        <f t="shared" si="3"/>
        <v>774</v>
      </c>
      <c r="J13" s="13" t="str">
        <f t="shared" si="4"/>
        <v>Archive</v>
      </c>
    </row>
    <row r="14">
      <c r="A14" s="11" t="s">
        <v>167</v>
      </c>
      <c r="B14" s="11" t="s">
        <v>40</v>
      </c>
      <c r="C14" s="11" t="s">
        <v>168</v>
      </c>
      <c r="D14" s="11" t="s">
        <v>141</v>
      </c>
      <c r="E14" s="11">
        <v>2800.0</v>
      </c>
      <c r="F14" s="11"/>
      <c r="G14" s="13" t="str">
        <f t="shared" si="1"/>
        <v>01-03-2024</v>
      </c>
      <c r="H14" s="13" t="str">
        <f t="shared" si="2"/>
        <v>March</v>
      </c>
      <c r="I14" s="14">
        <f t="shared" si="3"/>
        <v>766</v>
      </c>
      <c r="J14" s="13" t="str">
        <f t="shared" si="4"/>
        <v>Archive</v>
      </c>
    </row>
    <row r="15">
      <c r="A15" s="10" t="s">
        <v>169</v>
      </c>
      <c r="B15" s="10" t="s">
        <v>58</v>
      </c>
      <c r="C15" s="10" t="s">
        <v>170</v>
      </c>
      <c r="D15" s="10" t="s">
        <v>141</v>
      </c>
      <c r="E15" s="10">
        <v>1430.0</v>
      </c>
      <c r="F15" s="10"/>
      <c r="G15" s="13" t="str">
        <f t="shared" si="1"/>
        <v>05-03-2024</v>
      </c>
      <c r="H15" s="13" t="str">
        <f t="shared" si="2"/>
        <v>March</v>
      </c>
      <c r="I15" s="14">
        <f t="shared" si="3"/>
        <v>762</v>
      </c>
      <c r="J15" s="13" t="str">
        <f t="shared" si="4"/>
        <v>Archive</v>
      </c>
    </row>
    <row r="16">
      <c r="A16" s="11" t="s">
        <v>171</v>
      </c>
      <c r="B16" s="11" t="s">
        <v>21</v>
      </c>
      <c r="C16" s="11" t="s">
        <v>172</v>
      </c>
      <c r="D16" s="11" t="s">
        <v>141</v>
      </c>
      <c r="E16" s="11">
        <v>2100.0</v>
      </c>
      <c r="F16" s="11" t="s">
        <v>173</v>
      </c>
      <c r="G16" s="13" t="str">
        <f t="shared" si="1"/>
        <v>09-03-2024</v>
      </c>
      <c r="H16" s="13" t="str">
        <f t="shared" si="2"/>
        <v>March</v>
      </c>
      <c r="I16" s="14">
        <f t="shared" si="3"/>
        <v>758</v>
      </c>
      <c r="J16" s="13" t="str">
        <f t="shared" si="4"/>
        <v>Archive</v>
      </c>
    </row>
    <row r="17">
      <c r="A17" s="10" t="s">
        <v>174</v>
      </c>
      <c r="B17" s="10" t="s">
        <v>62</v>
      </c>
      <c r="C17" s="10" t="s">
        <v>175</v>
      </c>
      <c r="D17" s="10" t="s">
        <v>152</v>
      </c>
      <c r="E17" s="10">
        <v>990.0</v>
      </c>
      <c r="F17" s="10"/>
      <c r="G17" s="13" t="str">
        <f t="shared" si="1"/>
        <v>15-03-2024</v>
      </c>
      <c r="H17" s="13" t="str">
        <f t="shared" si="2"/>
        <v>March</v>
      </c>
      <c r="I17" s="14">
        <f t="shared" si="3"/>
        <v>752</v>
      </c>
      <c r="J17" s="13" t="str">
        <f t="shared" si="4"/>
        <v>Archive</v>
      </c>
    </row>
    <row r="18">
      <c r="A18" s="11" t="s">
        <v>176</v>
      </c>
      <c r="B18" s="11" t="s">
        <v>45</v>
      </c>
      <c r="C18" s="11" t="s">
        <v>177</v>
      </c>
      <c r="D18" s="11" t="s">
        <v>141</v>
      </c>
      <c r="E18" s="11">
        <v>1760.0</v>
      </c>
      <c r="F18" s="11"/>
      <c r="G18" s="13" t="str">
        <f t="shared" si="1"/>
        <v>20-03-2024</v>
      </c>
      <c r="H18" s="13" t="str">
        <f t="shared" si="2"/>
        <v>March</v>
      </c>
      <c r="I18" s="14">
        <f t="shared" si="3"/>
        <v>747</v>
      </c>
      <c r="J18" s="13" t="str">
        <f t="shared" si="4"/>
        <v>Archive</v>
      </c>
    </row>
    <row r="19">
      <c r="A19" s="10" t="s">
        <v>178</v>
      </c>
      <c r="B19" s="10" t="s">
        <v>66</v>
      </c>
      <c r="C19" s="10" t="s">
        <v>179</v>
      </c>
      <c r="D19" s="10" t="s">
        <v>141</v>
      </c>
      <c r="E19" s="10">
        <v>3100.0</v>
      </c>
      <c r="F19" s="10" t="s">
        <v>147</v>
      </c>
      <c r="G19" s="13" t="str">
        <f t="shared" si="1"/>
        <v>25-03-2024</v>
      </c>
      <c r="H19" s="13" t="str">
        <f t="shared" si="2"/>
        <v>March</v>
      </c>
      <c r="I19" s="14">
        <f t="shared" si="3"/>
        <v>742</v>
      </c>
      <c r="J19" s="13" t="str">
        <f t="shared" si="4"/>
        <v>Archive</v>
      </c>
    </row>
    <row r="20">
      <c r="A20" s="11" t="s">
        <v>180</v>
      </c>
      <c r="B20" s="11" t="s">
        <v>36</v>
      </c>
      <c r="C20" s="11" t="s">
        <v>181</v>
      </c>
      <c r="D20" s="11" t="s">
        <v>141</v>
      </c>
      <c r="E20" s="11">
        <v>2450.0</v>
      </c>
      <c r="F20" s="11"/>
      <c r="G20" s="13" t="str">
        <f t="shared" si="1"/>
        <v>02-04-2024</v>
      </c>
      <c r="H20" s="13" t="str">
        <f t="shared" si="2"/>
        <v>April</v>
      </c>
      <c r="I20" s="14">
        <f t="shared" si="3"/>
        <v>734</v>
      </c>
      <c r="J20" s="13" t="str">
        <f t="shared" si="4"/>
        <v>Archive</v>
      </c>
    </row>
    <row r="21" ht="15.75" customHeight="1">
      <c r="A21" s="10" t="s">
        <v>182</v>
      </c>
      <c r="B21" s="10" t="s">
        <v>69</v>
      </c>
      <c r="C21" s="10" t="s">
        <v>183</v>
      </c>
      <c r="D21" s="10" t="s">
        <v>141</v>
      </c>
      <c r="E21" s="10">
        <v>1300.0</v>
      </c>
      <c r="F21" s="10"/>
      <c r="G21" s="13" t="str">
        <f t="shared" si="1"/>
        <v>07-04-2024</v>
      </c>
      <c r="H21" s="13" t="str">
        <f t="shared" si="2"/>
        <v>April</v>
      </c>
      <c r="I21" s="14">
        <f t="shared" si="3"/>
        <v>729</v>
      </c>
      <c r="J21" s="13" t="str">
        <f t="shared" si="4"/>
        <v>Archive</v>
      </c>
    </row>
    <row r="22" ht="15.75" customHeight="1">
      <c r="A22" s="11" t="s">
        <v>184</v>
      </c>
      <c r="B22" s="11" t="s">
        <v>50</v>
      </c>
      <c r="C22" s="11" t="s">
        <v>185</v>
      </c>
      <c r="D22" s="11" t="s">
        <v>141</v>
      </c>
      <c r="E22" s="11">
        <v>2900.0</v>
      </c>
      <c r="F22" s="11" t="s">
        <v>160</v>
      </c>
      <c r="G22" s="13" t="str">
        <f t="shared" si="1"/>
        <v>11-04-2024</v>
      </c>
      <c r="H22" s="13" t="str">
        <f t="shared" si="2"/>
        <v>April</v>
      </c>
      <c r="I22" s="14">
        <f t="shared" si="3"/>
        <v>725</v>
      </c>
      <c r="J22" s="13" t="str">
        <f t="shared" si="4"/>
        <v>Archive</v>
      </c>
    </row>
    <row r="23" ht="15.75" customHeight="1">
      <c r="A23" s="10" t="s">
        <v>186</v>
      </c>
      <c r="B23" s="10" t="s">
        <v>72</v>
      </c>
      <c r="C23" s="10" t="s">
        <v>187</v>
      </c>
      <c r="D23" s="10" t="s">
        <v>141</v>
      </c>
      <c r="E23" s="10">
        <v>880.0</v>
      </c>
      <c r="F23" s="10"/>
      <c r="G23" s="13" t="str">
        <f t="shared" si="1"/>
        <v>16-04-2024</v>
      </c>
      <c r="H23" s="13" t="str">
        <f t="shared" si="2"/>
        <v>April</v>
      </c>
      <c r="I23" s="14">
        <f t="shared" si="3"/>
        <v>720</v>
      </c>
      <c r="J23" s="13" t="str">
        <f t="shared" si="4"/>
        <v>Archive</v>
      </c>
    </row>
    <row r="24" ht="15.75" customHeight="1">
      <c r="A24" s="11" t="s">
        <v>188</v>
      </c>
      <c r="B24" s="11" t="s">
        <v>31</v>
      </c>
      <c r="C24" s="11" t="s">
        <v>189</v>
      </c>
      <c r="D24" s="11" t="s">
        <v>141</v>
      </c>
      <c r="E24" s="11">
        <v>1550.0</v>
      </c>
      <c r="F24" s="11"/>
      <c r="G24" s="13" t="str">
        <f t="shared" si="1"/>
        <v>20-04-2024</v>
      </c>
      <c r="H24" s="13" t="str">
        <f t="shared" si="2"/>
        <v>April</v>
      </c>
      <c r="I24" s="14">
        <f t="shared" si="3"/>
        <v>716</v>
      </c>
      <c r="J24" s="13" t="str">
        <f t="shared" si="4"/>
        <v>Archive</v>
      </c>
    </row>
    <row r="25" ht="15.75" customHeight="1">
      <c r="A25" s="10" t="s">
        <v>190</v>
      </c>
      <c r="B25" s="10" t="s">
        <v>54</v>
      </c>
      <c r="C25" s="10" t="s">
        <v>191</v>
      </c>
      <c r="D25" s="10" t="s">
        <v>164</v>
      </c>
      <c r="E25" s="10">
        <v>640.0</v>
      </c>
      <c r="F25" s="10"/>
      <c r="G25" s="13" t="str">
        <f t="shared" si="1"/>
        <v>25-04-2024</v>
      </c>
      <c r="H25" s="13" t="str">
        <f t="shared" si="2"/>
        <v>April</v>
      </c>
      <c r="I25" s="14">
        <f t="shared" si="3"/>
        <v>711</v>
      </c>
      <c r="J25" s="13" t="str">
        <f t="shared" si="4"/>
        <v>Archive</v>
      </c>
    </row>
    <row r="26" ht="15.75" customHeight="1">
      <c r="A26" s="11" t="s">
        <v>192</v>
      </c>
      <c r="B26" s="11" t="s">
        <v>75</v>
      </c>
      <c r="C26" s="11" t="s">
        <v>193</v>
      </c>
      <c r="D26" s="11" t="s">
        <v>141</v>
      </c>
      <c r="E26" s="11">
        <v>2200.0</v>
      </c>
      <c r="F26" s="11" t="s">
        <v>194</v>
      </c>
      <c r="G26" s="13" t="str">
        <f t="shared" si="1"/>
        <v>03-05-2024</v>
      </c>
      <c r="H26" s="13" t="str">
        <f t="shared" si="2"/>
        <v>May</v>
      </c>
      <c r="I26" s="14">
        <f t="shared" si="3"/>
        <v>703</v>
      </c>
      <c r="J26" s="13" t="str">
        <f t="shared" si="4"/>
        <v>Archive</v>
      </c>
    </row>
    <row r="27" ht="15.75" customHeight="1">
      <c r="A27" s="10" t="s">
        <v>195</v>
      </c>
      <c r="B27" s="10" t="s">
        <v>40</v>
      </c>
      <c r="C27" s="10" t="s">
        <v>196</v>
      </c>
      <c r="D27" s="10" t="s">
        <v>141</v>
      </c>
      <c r="E27" s="10">
        <v>3600.0</v>
      </c>
      <c r="F27" s="10"/>
      <c r="G27" s="13" t="str">
        <f t="shared" si="1"/>
        <v>08-05-2024</v>
      </c>
      <c r="H27" s="13" t="str">
        <f t="shared" si="2"/>
        <v>May</v>
      </c>
      <c r="I27" s="14">
        <f t="shared" si="3"/>
        <v>698</v>
      </c>
      <c r="J27" s="13" t="str">
        <f t="shared" si="4"/>
        <v>Archive</v>
      </c>
    </row>
    <row r="28" ht="15.75" customHeight="1">
      <c r="A28" s="11" t="s">
        <v>197</v>
      </c>
      <c r="B28" s="11" t="s">
        <v>78</v>
      </c>
      <c r="C28" s="11" t="s">
        <v>198</v>
      </c>
      <c r="D28" s="11" t="s">
        <v>141</v>
      </c>
      <c r="E28" s="11">
        <v>1470.0</v>
      </c>
      <c r="F28" s="11"/>
      <c r="G28" s="13" t="str">
        <f t="shared" si="1"/>
        <v>12-05-2024</v>
      </c>
      <c r="H28" s="13" t="str">
        <f t="shared" si="2"/>
        <v>May</v>
      </c>
      <c r="I28" s="14">
        <f t="shared" si="3"/>
        <v>694</v>
      </c>
      <c r="J28" s="13" t="str">
        <f t="shared" si="4"/>
        <v>Archive</v>
      </c>
    </row>
    <row r="29" ht="15.75" customHeight="1">
      <c r="A29" s="10" t="s">
        <v>199</v>
      </c>
      <c r="B29" s="10" t="s">
        <v>26</v>
      </c>
      <c r="C29" s="10" t="s">
        <v>200</v>
      </c>
      <c r="D29" s="10" t="s">
        <v>141</v>
      </c>
      <c r="E29" s="10">
        <v>2050.0</v>
      </c>
      <c r="F29" s="10"/>
      <c r="G29" s="13" t="str">
        <f t="shared" si="1"/>
        <v>16-05-2024</v>
      </c>
      <c r="H29" s="13" t="str">
        <f t="shared" si="2"/>
        <v>May</v>
      </c>
      <c r="I29" s="14">
        <f t="shared" si="3"/>
        <v>690</v>
      </c>
      <c r="J29" s="13" t="str">
        <f t="shared" si="4"/>
        <v>Archive</v>
      </c>
    </row>
    <row r="30" ht="15.75" customHeight="1">
      <c r="A30" s="11" t="s">
        <v>201</v>
      </c>
      <c r="B30" s="11" t="s">
        <v>66</v>
      </c>
      <c r="C30" s="11" t="s">
        <v>93</v>
      </c>
      <c r="D30" s="11" t="s">
        <v>141</v>
      </c>
      <c r="E30" s="11">
        <v>1900.0</v>
      </c>
      <c r="F30" s="11" t="s">
        <v>153</v>
      </c>
      <c r="G30" s="13" t="str">
        <f t="shared" si="1"/>
        <v>20-05-2024</v>
      </c>
      <c r="H30" s="13" t="str">
        <f t="shared" si="2"/>
        <v>May</v>
      </c>
      <c r="I30" s="14">
        <f t="shared" si="3"/>
        <v>686</v>
      </c>
      <c r="J30" s="13" t="str">
        <f t="shared" si="4"/>
        <v>Archive</v>
      </c>
    </row>
    <row r="31" ht="15.75" customHeight="1">
      <c r="A31" s="10" t="s">
        <v>202</v>
      </c>
      <c r="B31" s="10" t="s">
        <v>58</v>
      </c>
      <c r="C31" s="10" t="s">
        <v>203</v>
      </c>
      <c r="D31" s="10" t="s">
        <v>152</v>
      </c>
      <c r="E31" s="10">
        <v>830.0</v>
      </c>
      <c r="F31" s="10"/>
      <c r="G31" s="13" t="str">
        <f t="shared" si="1"/>
        <v>25-05-2024</v>
      </c>
      <c r="H31" s="13" t="str">
        <f t="shared" si="2"/>
        <v>May</v>
      </c>
      <c r="I31" s="14">
        <f t="shared" si="3"/>
        <v>681</v>
      </c>
      <c r="J31" s="13" t="str">
        <f t="shared" si="4"/>
        <v>Archive</v>
      </c>
    </row>
    <row r="32" ht="15.75" customHeight="1">
      <c r="A32" s="11" t="s">
        <v>204</v>
      </c>
      <c r="B32" s="11" t="s">
        <v>81</v>
      </c>
      <c r="C32" s="11" t="s">
        <v>96</v>
      </c>
      <c r="D32" s="11" t="s">
        <v>141</v>
      </c>
      <c r="E32" s="11">
        <v>2650.0</v>
      </c>
      <c r="F32" s="11"/>
      <c r="G32" s="13" t="str">
        <f t="shared" si="1"/>
        <v>01-06-2024</v>
      </c>
      <c r="H32" s="13" t="str">
        <f t="shared" si="2"/>
        <v>June</v>
      </c>
      <c r="I32" s="14">
        <f t="shared" si="3"/>
        <v>674</v>
      </c>
      <c r="J32" s="13" t="str">
        <f t="shared" si="4"/>
        <v>Archive</v>
      </c>
    </row>
    <row r="33" ht="15.75" customHeight="1">
      <c r="A33" s="10" t="s">
        <v>205</v>
      </c>
      <c r="B33" s="10" t="s">
        <v>21</v>
      </c>
      <c r="C33" s="10" t="s">
        <v>206</v>
      </c>
      <c r="D33" s="10" t="s">
        <v>141</v>
      </c>
      <c r="E33" s="10">
        <v>1780.0</v>
      </c>
      <c r="F33" s="10" t="s">
        <v>207</v>
      </c>
      <c r="G33" s="13" t="str">
        <f t="shared" si="1"/>
        <v>05-06-2024</v>
      </c>
      <c r="H33" s="13" t="str">
        <f t="shared" si="2"/>
        <v>June</v>
      </c>
      <c r="I33" s="14">
        <f t="shared" si="3"/>
        <v>670</v>
      </c>
      <c r="J33" s="13" t="str">
        <f t="shared" si="4"/>
        <v>Archive</v>
      </c>
    </row>
    <row r="34" ht="15.75" customHeight="1">
      <c r="A34" s="11" t="s">
        <v>208</v>
      </c>
      <c r="B34" s="11" t="s">
        <v>45</v>
      </c>
      <c r="C34" s="11" t="s">
        <v>209</v>
      </c>
      <c r="D34" s="11" t="s">
        <v>141</v>
      </c>
      <c r="E34" s="11">
        <v>3100.0</v>
      </c>
      <c r="F34" s="11"/>
      <c r="G34" s="13" t="str">
        <f t="shared" si="1"/>
        <v>10-06-2024</v>
      </c>
      <c r="H34" s="13" t="str">
        <f t="shared" si="2"/>
        <v>June</v>
      </c>
      <c r="I34" s="14">
        <f t="shared" si="3"/>
        <v>665</v>
      </c>
      <c r="J34" s="13" t="str">
        <f t="shared" si="4"/>
        <v>Archive</v>
      </c>
    </row>
    <row r="35" ht="15.75" customHeight="1">
      <c r="A35" s="10" t="s">
        <v>210</v>
      </c>
      <c r="B35" s="10" t="s">
        <v>84</v>
      </c>
      <c r="C35" s="10" t="s">
        <v>211</v>
      </c>
      <c r="D35" s="10" t="s">
        <v>141</v>
      </c>
      <c r="E35" s="10">
        <v>1230.0</v>
      </c>
      <c r="F35" s="10"/>
      <c r="G35" s="13" t="str">
        <f t="shared" si="1"/>
        <v>14-06-2024</v>
      </c>
      <c r="H35" s="13" t="str">
        <f t="shared" si="2"/>
        <v>June</v>
      </c>
      <c r="I35" s="14">
        <f t="shared" si="3"/>
        <v>661</v>
      </c>
      <c r="J35" s="13" t="str">
        <f t="shared" si="4"/>
        <v>Archive</v>
      </c>
    </row>
    <row r="36" ht="15.75" customHeight="1">
      <c r="A36" s="11" t="s">
        <v>212</v>
      </c>
      <c r="B36" s="11" t="s">
        <v>62</v>
      </c>
      <c r="C36" s="11" t="s">
        <v>213</v>
      </c>
      <c r="D36" s="11" t="s">
        <v>141</v>
      </c>
      <c r="E36" s="11">
        <v>2800.0</v>
      </c>
      <c r="F36" s="11"/>
      <c r="G36" s="13" t="str">
        <f t="shared" si="1"/>
        <v>18-06-2024</v>
      </c>
      <c r="H36" s="13" t="str">
        <f t="shared" si="2"/>
        <v>June</v>
      </c>
      <c r="I36" s="14">
        <f t="shared" si="3"/>
        <v>657</v>
      </c>
      <c r="J36" s="13" t="str">
        <f t="shared" si="4"/>
        <v>Archive</v>
      </c>
    </row>
    <row r="37" ht="15.75" customHeight="1">
      <c r="A37" s="10" t="s">
        <v>214</v>
      </c>
      <c r="B37" s="10" t="s">
        <v>72</v>
      </c>
      <c r="C37" s="10" t="s">
        <v>215</v>
      </c>
      <c r="D37" s="10" t="s">
        <v>141</v>
      </c>
      <c r="E37" s="10">
        <v>1650.0</v>
      </c>
      <c r="F37" s="10"/>
      <c r="G37" s="13" t="str">
        <f t="shared" si="1"/>
        <v>22-06-2024</v>
      </c>
      <c r="H37" s="13" t="str">
        <f t="shared" si="2"/>
        <v>June</v>
      </c>
      <c r="I37" s="14">
        <f t="shared" si="3"/>
        <v>653</v>
      </c>
      <c r="J37" s="13" t="str">
        <f t="shared" si="4"/>
        <v>Archive</v>
      </c>
    </row>
    <row r="38" ht="15.75" customHeight="1">
      <c r="A38" s="11" t="s">
        <v>216</v>
      </c>
      <c r="B38" s="11" t="s">
        <v>31</v>
      </c>
      <c r="C38" s="11" t="s">
        <v>217</v>
      </c>
      <c r="D38" s="11" t="s">
        <v>141</v>
      </c>
      <c r="E38" s="11">
        <v>2400.0</v>
      </c>
      <c r="F38" s="11"/>
      <c r="G38" s="13" t="str">
        <f t="shared" si="1"/>
        <v>01-07-2024</v>
      </c>
      <c r="H38" s="13" t="str">
        <f t="shared" si="2"/>
        <v>July</v>
      </c>
      <c r="I38" s="14">
        <f t="shared" si="3"/>
        <v>644</v>
      </c>
      <c r="J38" s="13" t="str">
        <f t="shared" si="4"/>
        <v>Archive</v>
      </c>
    </row>
    <row r="39" ht="15.75" customHeight="1">
      <c r="A39" s="10" t="s">
        <v>218</v>
      </c>
      <c r="B39" s="10" t="s">
        <v>87</v>
      </c>
      <c r="C39" s="10" t="s">
        <v>219</v>
      </c>
      <c r="D39" s="10" t="s">
        <v>141</v>
      </c>
      <c r="E39" s="10">
        <v>1100.0</v>
      </c>
      <c r="F39" s="10"/>
      <c r="G39" s="13" t="str">
        <f t="shared" si="1"/>
        <v>05-07-2024</v>
      </c>
      <c r="H39" s="13" t="str">
        <f t="shared" si="2"/>
        <v>July</v>
      </c>
      <c r="I39" s="14">
        <f t="shared" si="3"/>
        <v>640</v>
      </c>
      <c r="J39" s="13" t="str">
        <f t="shared" si="4"/>
        <v>Archive</v>
      </c>
    </row>
    <row r="40" ht="15.75" customHeight="1">
      <c r="A40" s="11" t="s">
        <v>220</v>
      </c>
      <c r="B40" s="11" t="s">
        <v>69</v>
      </c>
      <c r="C40" s="11" t="s">
        <v>221</v>
      </c>
      <c r="D40" s="11" t="s">
        <v>164</v>
      </c>
      <c r="E40" s="11">
        <v>760.0</v>
      </c>
      <c r="F40" s="11"/>
      <c r="G40" s="13" t="str">
        <f t="shared" si="1"/>
        <v>09-07-2024</v>
      </c>
      <c r="H40" s="13" t="str">
        <f t="shared" si="2"/>
        <v>July</v>
      </c>
      <c r="I40" s="14">
        <f t="shared" si="3"/>
        <v>636</v>
      </c>
      <c r="J40" s="13" t="str">
        <f t="shared" si="4"/>
        <v>Archive</v>
      </c>
    </row>
    <row r="41" ht="15.75" customHeight="1">
      <c r="A41" s="10" t="s">
        <v>222</v>
      </c>
      <c r="B41" s="10" t="s">
        <v>50</v>
      </c>
      <c r="C41" s="10" t="s">
        <v>223</v>
      </c>
      <c r="D41" s="10" t="s">
        <v>141</v>
      </c>
      <c r="E41" s="10">
        <v>2980.0</v>
      </c>
      <c r="F41" s="10"/>
      <c r="G41" s="13" t="str">
        <f t="shared" si="1"/>
        <v>14-07-2024</v>
      </c>
      <c r="H41" s="13" t="str">
        <f t="shared" si="2"/>
        <v>July</v>
      </c>
      <c r="I41" s="14">
        <f t="shared" si="3"/>
        <v>631</v>
      </c>
      <c r="J41" s="13" t="str">
        <f t="shared" si="4"/>
        <v>Archive</v>
      </c>
    </row>
    <row r="42" ht="15.75" customHeight="1">
      <c r="A42" s="11" t="s">
        <v>224</v>
      </c>
      <c r="B42" s="11" t="s">
        <v>40</v>
      </c>
      <c r="C42" s="11" t="s">
        <v>225</v>
      </c>
      <c r="D42" s="11" t="s">
        <v>141</v>
      </c>
      <c r="E42" s="11">
        <v>1540.0</v>
      </c>
      <c r="F42" s="11" t="s">
        <v>160</v>
      </c>
      <c r="G42" s="13" t="str">
        <f t="shared" si="1"/>
        <v>18-07-2024</v>
      </c>
      <c r="H42" s="13" t="str">
        <f t="shared" si="2"/>
        <v>July</v>
      </c>
      <c r="I42" s="14">
        <f t="shared" si="3"/>
        <v>627</v>
      </c>
      <c r="J42" s="13" t="str">
        <f t="shared" si="4"/>
        <v>Archive</v>
      </c>
    </row>
    <row r="43" ht="15.75" customHeight="1">
      <c r="A43" s="10" t="s">
        <v>226</v>
      </c>
      <c r="B43" s="10" t="s">
        <v>91</v>
      </c>
      <c r="C43" s="10" t="s">
        <v>227</v>
      </c>
      <c r="D43" s="10" t="s">
        <v>141</v>
      </c>
      <c r="E43" s="10">
        <v>890.0</v>
      </c>
      <c r="F43" s="10"/>
      <c r="G43" s="13" t="str">
        <f t="shared" si="1"/>
        <v>22-07-2024</v>
      </c>
      <c r="H43" s="13" t="str">
        <f t="shared" si="2"/>
        <v>July</v>
      </c>
      <c r="I43" s="14">
        <f t="shared" si="3"/>
        <v>623</v>
      </c>
      <c r="J43" s="13" t="str">
        <f t="shared" si="4"/>
        <v>Archive</v>
      </c>
    </row>
    <row r="44" ht="15.75" customHeight="1">
      <c r="A44" s="11" t="s">
        <v>228</v>
      </c>
      <c r="B44" s="11" t="s">
        <v>75</v>
      </c>
      <c r="C44" s="11" t="s">
        <v>229</v>
      </c>
      <c r="D44" s="11" t="s">
        <v>141</v>
      </c>
      <c r="E44" s="11">
        <v>3200.0</v>
      </c>
      <c r="F44" s="11"/>
      <c r="G44" s="13" t="str">
        <f t="shared" si="1"/>
        <v>26-07-2024</v>
      </c>
      <c r="H44" s="13" t="str">
        <f t="shared" si="2"/>
        <v>July</v>
      </c>
      <c r="I44" s="14">
        <f t="shared" si="3"/>
        <v>619</v>
      </c>
      <c r="J44" s="13" t="str">
        <f t="shared" si="4"/>
        <v>Archive</v>
      </c>
    </row>
    <row r="45" ht="15.75" customHeight="1">
      <c r="A45" s="10" t="s">
        <v>230</v>
      </c>
      <c r="B45" s="10" t="s">
        <v>66</v>
      </c>
      <c r="C45" s="10" t="s">
        <v>231</v>
      </c>
      <c r="D45" s="10" t="s">
        <v>141</v>
      </c>
      <c r="E45" s="10">
        <v>2100.0</v>
      </c>
      <c r="F45" s="10"/>
      <c r="G45" s="13" t="str">
        <f t="shared" si="1"/>
        <v>02-08-2024</v>
      </c>
      <c r="H45" s="13" t="str">
        <f t="shared" si="2"/>
        <v>August</v>
      </c>
      <c r="I45" s="14">
        <f t="shared" si="3"/>
        <v>612</v>
      </c>
      <c r="J45" s="13" t="str">
        <f t="shared" si="4"/>
        <v>Archive</v>
      </c>
    </row>
    <row r="46" ht="15.75" customHeight="1">
      <c r="A46" s="11" t="s">
        <v>232</v>
      </c>
      <c r="B46" s="11" t="s">
        <v>78</v>
      </c>
      <c r="C46" s="11" t="s">
        <v>233</v>
      </c>
      <c r="D46" s="11" t="s">
        <v>141</v>
      </c>
      <c r="E46" s="11">
        <v>1780.0</v>
      </c>
      <c r="F46" s="11"/>
      <c r="G46" s="13" t="str">
        <f t="shared" si="1"/>
        <v>06-08-2024</v>
      </c>
      <c r="H46" s="13" t="str">
        <f t="shared" si="2"/>
        <v>August</v>
      </c>
      <c r="I46" s="14">
        <f t="shared" si="3"/>
        <v>608</v>
      </c>
      <c r="J46" s="13" t="str">
        <f t="shared" si="4"/>
        <v>Archive</v>
      </c>
    </row>
    <row r="47" ht="15.75" customHeight="1">
      <c r="A47" s="10" t="s">
        <v>234</v>
      </c>
      <c r="B47" s="10" t="s">
        <v>81</v>
      </c>
      <c r="C47" s="10" t="s">
        <v>235</v>
      </c>
      <c r="D47" s="10" t="s">
        <v>152</v>
      </c>
      <c r="E47" s="10">
        <v>1350.0</v>
      </c>
      <c r="F47" s="10"/>
      <c r="G47" s="13" t="str">
        <f t="shared" si="1"/>
        <v>10-08-2024</v>
      </c>
      <c r="H47" s="13" t="str">
        <f t="shared" si="2"/>
        <v>August</v>
      </c>
      <c r="I47" s="14">
        <f t="shared" si="3"/>
        <v>604</v>
      </c>
      <c r="J47" s="13" t="str">
        <f t="shared" si="4"/>
        <v>Archive</v>
      </c>
    </row>
    <row r="48" ht="15.75" customHeight="1">
      <c r="A48" s="11" t="s">
        <v>236</v>
      </c>
      <c r="B48" s="11" t="s">
        <v>45</v>
      </c>
      <c r="C48" s="11" t="s">
        <v>237</v>
      </c>
      <c r="D48" s="11" t="s">
        <v>141</v>
      </c>
      <c r="E48" s="11">
        <v>2500.0</v>
      </c>
      <c r="F48" s="11"/>
      <c r="G48" s="13" t="str">
        <f t="shared" si="1"/>
        <v>15-08-2024</v>
      </c>
      <c r="H48" s="13" t="str">
        <f t="shared" si="2"/>
        <v>August</v>
      </c>
      <c r="I48" s="14">
        <f t="shared" si="3"/>
        <v>599</v>
      </c>
      <c r="J48" s="13" t="str">
        <f t="shared" si="4"/>
        <v>Archive</v>
      </c>
    </row>
    <row r="49" ht="15.75" customHeight="1">
      <c r="A49" s="10" t="s">
        <v>238</v>
      </c>
      <c r="B49" s="10" t="s">
        <v>26</v>
      </c>
      <c r="C49" s="10" t="s">
        <v>239</v>
      </c>
      <c r="D49" s="10" t="s">
        <v>141</v>
      </c>
      <c r="E49" s="10">
        <v>1900.0</v>
      </c>
      <c r="F49" s="10"/>
      <c r="G49" s="13" t="str">
        <f t="shared" si="1"/>
        <v>19-08-2024</v>
      </c>
      <c r="H49" s="13" t="str">
        <f t="shared" si="2"/>
        <v>August</v>
      </c>
      <c r="I49" s="14">
        <f t="shared" si="3"/>
        <v>595</v>
      </c>
      <c r="J49" s="13" t="str">
        <f t="shared" si="4"/>
        <v>Archive</v>
      </c>
    </row>
    <row r="50" ht="15.75" customHeight="1">
      <c r="A50" s="11" t="s">
        <v>240</v>
      </c>
      <c r="B50" s="11" t="s">
        <v>84</v>
      </c>
      <c r="C50" s="11" t="s">
        <v>241</v>
      </c>
      <c r="D50" s="11" t="s">
        <v>141</v>
      </c>
      <c r="E50" s="11">
        <v>1450.0</v>
      </c>
      <c r="F50" s="11"/>
      <c r="G50" s="13" t="str">
        <f t="shared" si="1"/>
        <v>23-08-2024</v>
      </c>
      <c r="H50" s="13" t="str">
        <f t="shared" si="2"/>
        <v>August</v>
      </c>
      <c r="I50" s="14">
        <f t="shared" si="3"/>
        <v>591</v>
      </c>
      <c r="J50" s="13" t="str">
        <f t="shared" si="4"/>
        <v>Archive</v>
      </c>
    </row>
    <row r="51" ht="15.75" customHeight="1">
      <c r="A51" s="10" t="s">
        <v>242</v>
      </c>
      <c r="B51" s="10" t="s">
        <v>94</v>
      </c>
      <c r="C51" s="10" t="s">
        <v>243</v>
      </c>
      <c r="D51" s="10" t="s">
        <v>141</v>
      </c>
      <c r="E51" s="10">
        <v>2100.0</v>
      </c>
      <c r="F51" s="10"/>
      <c r="G51" s="13" t="str">
        <f t="shared" si="1"/>
        <v>01-09-2024</v>
      </c>
      <c r="H51" s="13" t="str">
        <f t="shared" si="2"/>
        <v>September</v>
      </c>
      <c r="I51" s="14">
        <f t="shared" si="3"/>
        <v>582</v>
      </c>
      <c r="J51" s="13" t="str">
        <f t="shared" si="4"/>
        <v>Archive</v>
      </c>
    </row>
    <row r="52" ht="15.75" customHeight="1">
      <c r="A52" s="11" t="s">
        <v>244</v>
      </c>
      <c r="B52" s="11" t="s">
        <v>21</v>
      </c>
      <c r="C52" s="11" t="s">
        <v>245</v>
      </c>
      <c r="D52" s="11" t="s">
        <v>141</v>
      </c>
      <c r="E52" s="11">
        <v>3400.0</v>
      </c>
      <c r="F52" s="11" t="s">
        <v>246</v>
      </c>
      <c r="G52" s="13" t="str">
        <f t="shared" si="1"/>
        <v>05-09-2024</v>
      </c>
      <c r="H52" s="13" t="str">
        <f t="shared" si="2"/>
        <v>September</v>
      </c>
      <c r="I52" s="14">
        <f t="shared" si="3"/>
        <v>578</v>
      </c>
      <c r="J52" s="13" t="str">
        <f t="shared" si="4"/>
        <v>Archive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5" t="s">
        <v>247</v>
      </c>
      <c r="B2" s="15" t="s">
        <v>139</v>
      </c>
    </row>
    <row r="4">
      <c r="A4" s="15" t="s">
        <v>248</v>
      </c>
      <c r="B4" s="15" t="s">
        <v>249</v>
      </c>
      <c r="C4" s="15" t="s">
        <v>250</v>
      </c>
      <c r="D4" s="15" t="s">
        <v>251</v>
      </c>
      <c r="E4" s="15" t="s">
        <v>252</v>
      </c>
    </row>
    <row r="5">
      <c r="A5" s="13" t="str">
        <f t="array" ref="A5:B5">if(B2="","",xlookup(xlookup(B2,orders!A2:A52,orders!B2:B52),customers!A3:A22,customers!B3:C22))</f>
        <v>Priya Sharma</v>
      </c>
      <c r="B5" s="13" t="s">
        <v>23</v>
      </c>
      <c r="C5" s="13" t="str">
        <f t="array" ref="C5:D5">if(B2="","", xlookup(B2,orders!A3:A52,orders!D3:E52))</f>
        <v>Delivered</v>
      </c>
      <c r="D5" s="13">
        <v>2450.0</v>
      </c>
      <c r="E5" s="13" t="str">
        <f t="array" ref="E5">if(B2="","", xlookup(B2,complaints!B3:B24,complaints!C3:C24,"No Complaint"))</f>
        <v>No Complaint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0.0"/>
    <col customWidth="1" min="4" max="4" width="12.0"/>
    <col customWidth="1" min="5" max="26" width="8.71"/>
  </cols>
  <sheetData>
    <row r="1" ht="13.5" customHeight="1">
      <c r="A1" s="7" t="s">
        <v>253</v>
      </c>
      <c r="B1" s="8" t="s">
        <v>254</v>
      </c>
    </row>
    <row r="2" ht="18.0" customHeight="1">
      <c r="A2" s="9" t="s">
        <v>130</v>
      </c>
      <c r="B2" s="9" t="s">
        <v>99</v>
      </c>
      <c r="C2" s="9" t="s">
        <v>255</v>
      </c>
      <c r="D2" s="9" t="s">
        <v>256</v>
      </c>
      <c r="E2" s="9" t="s">
        <v>257</v>
      </c>
    </row>
    <row r="3">
      <c r="A3" s="10" t="s">
        <v>139</v>
      </c>
      <c r="B3" s="10" t="s">
        <v>103</v>
      </c>
      <c r="C3" s="10">
        <v>1.0</v>
      </c>
      <c r="D3" s="10">
        <v>1899.0</v>
      </c>
      <c r="E3" s="13">
        <f t="shared" ref="E3:E107" si="1">C3*D3</f>
        <v>1899</v>
      </c>
    </row>
    <row r="4">
      <c r="A4" s="11" t="s">
        <v>139</v>
      </c>
      <c r="B4" s="11" t="s">
        <v>106</v>
      </c>
      <c r="C4" s="11">
        <v>1.0</v>
      </c>
      <c r="D4" s="11">
        <v>599.0</v>
      </c>
      <c r="E4" s="13">
        <f t="shared" si="1"/>
        <v>599</v>
      </c>
    </row>
    <row r="5">
      <c r="A5" s="10" t="s">
        <v>139</v>
      </c>
      <c r="B5" s="10" t="s">
        <v>124</v>
      </c>
      <c r="C5" s="10">
        <v>1.0</v>
      </c>
      <c r="D5" s="10">
        <v>449.0</v>
      </c>
      <c r="E5" s="13">
        <f t="shared" si="1"/>
        <v>449</v>
      </c>
    </row>
    <row r="6">
      <c r="A6" s="11" t="s">
        <v>143</v>
      </c>
      <c r="B6" s="11" t="s">
        <v>109</v>
      </c>
      <c r="C6" s="11">
        <v>2.0</v>
      </c>
      <c r="D6" s="11">
        <v>799.0</v>
      </c>
      <c r="E6" s="13">
        <f t="shared" si="1"/>
        <v>1598</v>
      </c>
    </row>
    <row r="7">
      <c r="A7" s="10" t="s">
        <v>143</v>
      </c>
      <c r="B7" s="10" t="s">
        <v>116</v>
      </c>
      <c r="C7" s="10">
        <v>1.0</v>
      </c>
      <c r="D7" s="10">
        <v>349.0</v>
      </c>
      <c r="E7" s="13">
        <f t="shared" si="1"/>
        <v>349</v>
      </c>
    </row>
    <row r="8">
      <c r="A8" s="11" t="s">
        <v>145</v>
      </c>
      <c r="B8" s="11" t="s">
        <v>112</v>
      </c>
      <c r="C8" s="11">
        <v>1.0</v>
      </c>
      <c r="D8" s="11">
        <v>1999.0</v>
      </c>
      <c r="E8" s="13">
        <f t="shared" si="1"/>
        <v>1999</v>
      </c>
    </row>
    <row r="9">
      <c r="A9" s="10" t="s">
        <v>145</v>
      </c>
      <c r="B9" s="10" t="s">
        <v>118</v>
      </c>
      <c r="C9" s="10">
        <v>1.0</v>
      </c>
      <c r="D9" s="10">
        <v>1199.0</v>
      </c>
      <c r="E9" s="13">
        <f t="shared" si="1"/>
        <v>1199</v>
      </c>
    </row>
    <row r="10">
      <c r="A10" s="11" t="s">
        <v>148</v>
      </c>
      <c r="B10" s="11" t="s">
        <v>126</v>
      </c>
      <c r="C10" s="11">
        <v>2.0</v>
      </c>
      <c r="D10" s="11">
        <v>499.0</v>
      </c>
      <c r="E10" s="13">
        <f t="shared" si="1"/>
        <v>998</v>
      </c>
    </row>
    <row r="11">
      <c r="A11" s="10" t="s">
        <v>150</v>
      </c>
      <c r="B11" s="10" t="s">
        <v>114</v>
      </c>
      <c r="C11" s="10">
        <v>1.0</v>
      </c>
      <c r="D11" s="10">
        <v>849.0</v>
      </c>
      <c r="E11" s="13">
        <f t="shared" si="1"/>
        <v>849</v>
      </c>
    </row>
    <row r="12">
      <c r="A12" s="11" t="s">
        <v>150</v>
      </c>
      <c r="B12" s="11" t="s">
        <v>106</v>
      </c>
      <c r="C12" s="11">
        <v>1.0</v>
      </c>
      <c r="D12" s="11">
        <v>599.0</v>
      </c>
      <c r="E12" s="13">
        <f t="shared" si="1"/>
        <v>599</v>
      </c>
    </row>
    <row r="13">
      <c r="A13" s="10" t="s">
        <v>154</v>
      </c>
      <c r="B13" s="10" t="s">
        <v>103</v>
      </c>
      <c r="C13" s="10">
        <v>1.0</v>
      </c>
      <c r="D13" s="10">
        <v>1899.0</v>
      </c>
      <c r="E13" s="13">
        <f t="shared" si="1"/>
        <v>1899</v>
      </c>
    </row>
    <row r="14">
      <c r="A14" s="11" t="s">
        <v>154</v>
      </c>
      <c r="B14" s="11" t="s">
        <v>109</v>
      </c>
      <c r="C14" s="11">
        <v>1.0</v>
      </c>
      <c r="D14" s="11">
        <v>799.0</v>
      </c>
      <c r="E14" s="13">
        <f t="shared" si="1"/>
        <v>799</v>
      </c>
    </row>
    <row r="15">
      <c r="A15" s="10" t="s">
        <v>156</v>
      </c>
      <c r="B15" s="10" t="s">
        <v>116</v>
      </c>
      <c r="C15" s="10">
        <v>2.0</v>
      </c>
      <c r="D15" s="10">
        <v>349.0</v>
      </c>
      <c r="E15" s="13">
        <f t="shared" si="1"/>
        <v>698</v>
      </c>
    </row>
    <row r="16">
      <c r="A16" s="11" t="s">
        <v>156</v>
      </c>
      <c r="B16" s="11" t="s">
        <v>124</v>
      </c>
      <c r="C16" s="11">
        <v>1.0</v>
      </c>
      <c r="D16" s="11">
        <v>449.0</v>
      </c>
      <c r="E16" s="13">
        <f t="shared" si="1"/>
        <v>449</v>
      </c>
    </row>
    <row r="17">
      <c r="A17" s="10" t="s">
        <v>158</v>
      </c>
      <c r="B17" s="10" t="s">
        <v>103</v>
      </c>
      <c r="C17" s="10">
        <v>1.0</v>
      </c>
      <c r="D17" s="10">
        <v>1899.0</v>
      </c>
      <c r="E17" s="13">
        <f t="shared" si="1"/>
        <v>1899</v>
      </c>
    </row>
    <row r="18">
      <c r="A18" s="11" t="s">
        <v>158</v>
      </c>
      <c r="B18" s="11" t="s">
        <v>126</v>
      </c>
      <c r="C18" s="11">
        <v>1.0</v>
      </c>
      <c r="D18" s="11">
        <v>499.0</v>
      </c>
      <c r="E18" s="13">
        <f t="shared" si="1"/>
        <v>499</v>
      </c>
    </row>
    <row r="19">
      <c r="A19" s="10" t="s">
        <v>161</v>
      </c>
      <c r="B19" s="10" t="s">
        <v>112</v>
      </c>
      <c r="C19" s="10">
        <v>1.0</v>
      </c>
      <c r="D19" s="10">
        <v>1999.0</v>
      </c>
      <c r="E19" s="13">
        <f t="shared" si="1"/>
        <v>1999</v>
      </c>
    </row>
    <row r="20">
      <c r="A20" s="11" t="s">
        <v>161</v>
      </c>
      <c r="B20" s="11" t="s">
        <v>118</v>
      </c>
      <c r="C20" s="11">
        <v>1.0</v>
      </c>
      <c r="D20" s="11">
        <v>1199.0</v>
      </c>
      <c r="E20" s="13">
        <f t="shared" si="1"/>
        <v>1199</v>
      </c>
    </row>
    <row r="21" ht="15.75" customHeight="1">
      <c r="A21" s="10" t="s">
        <v>161</v>
      </c>
      <c r="B21" s="10" t="s">
        <v>121</v>
      </c>
      <c r="C21" s="10">
        <v>1.0</v>
      </c>
      <c r="D21" s="10">
        <v>799.0</v>
      </c>
      <c r="E21" s="13">
        <f t="shared" si="1"/>
        <v>799</v>
      </c>
    </row>
    <row r="22" ht="15.75" customHeight="1">
      <c r="A22" s="11" t="s">
        <v>162</v>
      </c>
      <c r="B22" s="11" t="s">
        <v>106</v>
      </c>
      <c r="C22" s="11">
        <v>1.0</v>
      </c>
      <c r="D22" s="11">
        <v>599.0</v>
      </c>
      <c r="E22" s="13">
        <f t="shared" si="1"/>
        <v>599</v>
      </c>
    </row>
    <row r="23" ht="15.75" customHeight="1">
      <c r="A23" s="10" t="s">
        <v>162</v>
      </c>
      <c r="B23" s="10" t="s">
        <v>124</v>
      </c>
      <c r="C23" s="10">
        <v>1.0</v>
      </c>
      <c r="D23" s="10">
        <v>449.0</v>
      </c>
      <c r="E23" s="13">
        <f t="shared" si="1"/>
        <v>449</v>
      </c>
    </row>
    <row r="24" ht="15.75" customHeight="1">
      <c r="A24" s="11" t="s">
        <v>165</v>
      </c>
      <c r="B24" s="11" t="s">
        <v>109</v>
      </c>
      <c r="C24" s="11">
        <v>1.0</v>
      </c>
      <c r="D24" s="11">
        <v>799.0</v>
      </c>
      <c r="E24" s="13">
        <f t="shared" si="1"/>
        <v>799</v>
      </c>
    </row>
    <row r="25" ht="15.75" customHeight="1">
      <c r="A25" s="10" t="s">
        <v>165</v>
      </c>
      <c r="B25" s="10" t="s">
        <v>116</v>
      </c>
      <c r="C25" s="10">
        <v>1.0</v>
      </c>
      <c r="D25" s="10">
        <v>349.0</v>
      </c>
      <c r="E25" s="13">
        <f t="shared" si="1"/>
        <v>349</v>
      </c>
    </row>
    <row r="26" ht="15.75" customHeight="1">
      <c r="A26" s="11" t="s">
        <v>167</v>
      </c>
      <c r="B26" s="11" t="s">
        <v>103</v>
      </c>
      <c r="C26" s="11">
        <v>1.0</v>
      </c>
      <c r="D26" s="11">
        <v>1899.0</v>
      </c>
      <c r="E26" s="13">
        <f t="shared" si="1"/>
        <v>1899</v>
      </c>
    </row>
    <row r="27" ht="15.75" customHeight="1">
      <c r="A27" s="10" t="s">
        <v>167</v>
      </c>
      <c r="B27" s="10" t="s">
        <v>114</v>
      </c>
      <c r="C27" s="10">
        <v>1.0</v>
      </c>
      <c r="D27" s="10">
        <v>849.0</v>
      </c>
      <c r="E27" s="13">
        <f t="shared" si="1"/>
        <v>849</v>
      </c>
    </row>
    <row r="28" ht="15.75" customHeight="1">
      <c r="A28" s="11" t="s">
        <v>167</v>
      </c>
      <c r="B28" s="11" t="s">
        <v>126</v>
      </c>
      <c r="C28" s="11">
        <v>1.0</v>
      </c>
      <c r="D28" s="11">
        <v>499.0</v>
      </c>
      <c r="E28" s="13">
        <f t="shared" si="1"/>
        <v>499</v>
      </c>
    </row>
    <row r="29" ht="15.75" customHeight="1">
      <c r="A29" s="10" t="s">
        <v>169</v>
      </c>
      <c r="B29" s="10" t="s">
        <v>106</v>
      </c>
      <c r="C29" s="10">
        <v>2.0</v>
      </c>
      <c r="D29" s="10">
        <v>599.0</v>
      </c>
      <c r="E29" s="13">
        <f t="shared" si="1"/>
        <v>1198</v>
      </c>
    </row>
    <row r="30" ht="15.75" customHeight="1">
      <c r="A30" s="11" t="s">
        <v>169</v>
      </c>
      <c r="B30" s="11" t="s">
        <v>124</v>
      </c>
      <c r="C30" s="11">
        <v>1.0</v>
      </c>
      <c r="D30" s="11">
        <v>449.0</v>
      </c>
      <c r="E30" s="13">
        <f t="shared" si="1"/>
        <v>449</v>
      </c>
    </row>
    <row r="31" ht="15.75" customHeight="1">
      <c r="A31" s="10" t="s">
        <v>171</v>
      </c>
      <c r="B31" s="10" t="s">
        <v>103</v>
      </c>
      <c r="C31" s="10">
        <v>1.0</v>
      </c>
      <c r="D31" s="10">
        <v>1899.0</v>
      </c>
      <c r="E31" s="13">
        <f t="shared" si="1"/>
        <v>1899</v>
      </c>
    </row>
    <row r="32" ht="15.75" customHeight="1">
      <c r="A32" s="11" t="s">
        <v>171</v>
      </c>
      <c r="B32" s="11" t="s">
        <v>118</v>
      </c>
      <c r="C32" s="11">
        <v>1.0</v>
      </c>
      <c r="D32" s="11">
        <v>1199.0</v>
      </c>
      <c r="E32" s="13">
        <f t="shared" si="1"/>
        <v>1199</v>
      </c>
    </row>
    <row r="33" ht="15.75" customHeight="1">
      <c r="A33" s="10" t="s">
        <v>174</v>
      </c>
      <c r="B33" s="10" t="s">
        <v>121</v>
      </c>
      <c r="C33" s="10">
        <v>1.0</v>
      </c>
      <c r="D33" s="10">
        <v>799.0</v>
      </c>
      <c r="E33" s="13">
        <f t="shared" si="1"/>
        <v>799</v>
      </c>
    </row>
    <row r="34" ht="15.75" customHeight="1">
      <c r="A34" s="11" t="s">
        <v>174</v>
      </c>
      <c r="B34" s="11" t="s">
        <v>116</v>
      </c>
      <c r="C34" s="11">
        <v>1.0</v>
      </c>
      <c r="D34" s="11">
        <v>349.0</v>
      </c>
      <c r="E34" s="13">
        <f t="shared" si="1"/>
        <v>349</v>
      </c>
    </row>
    <row r="35" ht="15.75" customHeight="1">
      <c r="A35" s="10" t="s">
        <v>176</v>
      </c>
      <c r="B35" s="10" t="s">
        <v>112</v>
      </c>
      <c r="C35" s="10">
        <v>1.0</v>
      </c>
      <c r="D35" s="10">
        <v>1999.0</v>
      </c>
      <c r="E35" s="13">
        <f t="shared" si="1"/>
        <v>1999</v>
      </c>
    </row>
    <row r="36" ht="15.75" customHeight="1">
      <c r="A36" s="11" t="s">
        <v>176</v>
      </c>
      <c r="B36" s="11" t="s">
        <v>126</v>
      </c>
      <c r="C36" s="11">
        <v>1.0</v>
      </c>
      <c r="D36" s="11">
        <v>499.0</v>
      </c>
      <c r="E36" s="13">
        <f t="shared" si="1"/>
        <v>499</v>
      </c>
    </row>
    <row r="37" ht="15.75" customHeight="1">
      <c r="A37" s="10" t="s">
        <v>178</v>
      </c>
      <c r="B37" s="10" t="s">
        <v>103</v>
      </c>
      <c r="C37" s="10">
        <v>1.0</v>
      </c>
      <c r="D37" s="10">
        <v>1899.0</v>
      </c>
      <c r="E37" s="13">
        <f t="shared" si="1"/>
        <v>1899</v>
      </c>
    </row>
    <row r="38" ht="15.75" customHeight="1">
      <c r="A38" s="11" t="s">
        <v>178</v>
      </c>
      <c r="B38" s="11" t="s">
        <v>114</v>
      </c>
      <c r="C38" s="11">
        <v>1.0</v>
      </c>
      <c r="D38" s="11">
        <v>849.0</v>
      </c>
      <c r="E38" s="13">
        <f t="shared" si="1"/>
        <v>849</v>
      </c>
    </row>
    <row r="39" ht="15.75" customHeight="1">
      <c r="A39" s="10" t="s">
        <v>178</v>
      </c>
      <c r="B39" s="10" t="s">
        <v>109</v>
      </c>
      <c r="C39" s="10">
        <v>1.0</v>
      </c>
      <c r="D39" s="10">
        <v>799.0</v>
      </c>
      <c r="E39" s="13">
        <f t="shared" si="1"/>
        <v>799</v>
      </c>
    </row>
    <row r="40" ht="15.75" customHeight="1">
      <c r="A40" s="11" t="s">
        <v>180</v>
      </c>
      <c r="B40" s="11" t="s">
        <v>118</v>
      </c>
      <c r="C40" s="11">
        <v>1.0</v>
      </c>
      <c r="D40" s="11">
        <v>1199.0</v>
      </c>
      <c r="E40" s="13">
        <f t="shared" si="1"/>
        <v>1199</v>
      </c>
    </row>
    <row r="41" ht="15.75" customHeight="1">
      <c r="A41" s="10" t="s">
        <v>180</v>
      </c>
      <c r="B41" s="10" t="s">
        <v>106</v>
      </c>
      <c r="C41" s="10">
        <v>1.0</v>
      </c>
      <c r="D41" s="10">
        <v>599.0</v>
      </c>
      <c r="E41" s="13">
        <f t="shared" si="1"/>
        <v>599</v>
      </c>
    </row>
    <row r="42" ht="15.75" customHeight="1">
      <c r="A42" s="11" t="s">
        <v>180</v>
      </c>
      <c r="B42" s="11" t="s">
        <v>116</v>
      </c>
      <c r="C42" s="11">
        <v>1.0</v>
      </c>
      <c r="D42" s="11">
        <v>349.0</v>
      </c>
      <c r="E42" s="13">
        <f t="shared" si="1"/>
        <v>349</v>
      </c>
    </row>
    <row r="43" ht="15.75" customHeight="1">
      <c r="A43" s="10" t="s">
        <v>182</v>
      </c>
      <c r="B43" s="10" t="s">
        <v>103</v>
      </c>
      <c r="C43" s="10">
        <v>1.0</v>
      </c>
      <c r="D43" s="10">
        <v>1899.0</v>
      </c>
      <c r="E43" s="13">
        <f t="shared" si="1"/>
        <v>1899</v>
      </c>
    </row>
    <row r="44" ht="15.75" customHeight="1">
      <c r="A44" s="11" t="s">
        <v>182</v>
      </c>
      <c r="B44" s="11" t="s">
        <v>126</v>
      </c>
      <c r="C44" s="11">
        <v>1.0</v>
      </c>
      <c r="D44" s="11">
        <v>499.0</v>
      </c>
      <c r="E44" s="13">
        <f t="shared" si="1"/>
        <v>499</v>
      </c>
    </row>
    <row r="45" ht="15.75" customHeight="1">
      <c r="A45" s="10" t="s">
        <v>184</v>
      </c>
      <c r="B45" s="10" t="s">
        <v>112</v>
      </c>
      <c r="C45" s="10">
        <v>1.0</v>
      </c>
      <c r="D45" s="10">
        <v>1999.0</v>
      </c>
      <c r="E45" s="13">
        <f t="shared" si="1"/>
        <v>1999</v>
      </c>
    </row>
    <row r="46" ht="15.75" customHeight="1">
      <c r="A46" s="11" t="s">
        <v>184</v>
      </c>
      <c r="B46" s="11" t="s">
        <v>121</v>
      </c>
      <c r="C46" s="11">
        <v>1.0</v>
      </c>
      <c r="D46" s="11">
        <v>799.0</v>
      </c>
      <c r="E46" s="13">
        <f t="shared" si="1"/>
        <v>799</v>
      </c>
    </row>
    <row r="47" ht="15.75" customHeight="1">
      <c r="A47" s="10" t="s">
        <v>186</v>
      </c>
      <c r="B47" s="10" t="s">
        <v>124</v>
      </c>
      <c r="C47" s="10">
        <v>1.0</v>
      </c>
      <c r="D47" s="10">
        <v>449.0</v>
      </c>
      <c r="E47" s="13">
        <f t="shared" si="1"/>
        <v>449</v>
      </c>
    </row>
    <row r="48" ht="15.75" customHeight="1">
      <c r="A48" s="11" t="s">
        <v>186</v>
      </c>
      <c r="B48" s="11" t="s">
        <v>116</v>
      </c>
      <c r="C48" s="11">
        <v>1.0</v>
      </c>
      <c r="D48" s="11">
        <v>349.0</v>
      </c>
      <c r="E48" s="13">
        <f t="shared" si="1"/>
        <v>349</v>
      </c>
    </row>
    <row r="49" ht="15.75" customHeight="1">
      <c r="A49" s="10" t="s">
        <v>188</v>
      </c>
      <c r="B49" s="10" t="s">
        <v>103</v>
      </c>
      <c r="C49" s="10">
        <v>1.0</v>
      </c>
      <c r="D49" s="10">
        <v>1899.0</v>
      </c>
      <c r="E49" s="13">
        <f t="shared" si="1"/>
        <v>1899</v>
      </c>
    </row>
    <row r="50" ht="15.75" customHeight="1">
      <c r="A50" s="11" t="s">
        <v>188</v>
      </c>
      <c r="B50" s="11" t="s">
        <v>106</v>
      </c>
      <c r="C50" s="11">
        <v>1.0</v>
      </c>
      <c r="D50" s="11">
        <v>599.0</v>
      </c>
      <c r="E50" s="13">
        <f t="shared" si="1"/>
        <v>599</v>
      </c>
    </row>
    <row r="51" ht="15.75" customHeight="1">
      <c r="A51" s="10" t="s">
        <v>190</v>
      </c>
      <c r="B51" s="10" t="s">
        <v>114</v>
      </c>
      <c r="C51" s="10">
        <v>1.0</v>
      </c>
      <c r="D51" s="10">
        <v>849.0</v>
      </c>
      <c r="E51" s="13">
        <f t="shared" si="1"/>
        <v>849</v>
      </c>
    </row>
    <row r="52" ht="15.75" customHeight="1">
      <c r="A52" s="11" t="s">
        <v>192</v>
      </c>
      <c r="B52" s="11" t="s">
        <v>103</v>
      </c>
      <c r="C52" s="11">
        <v>1.0</v>
      </c>
      <c r="D52" s="11">
        <v>1899.0</v>
      </c>
      <c r="E52" s="13">
        <f t="shared" si="1"/>
        <v>1899</v>
      </c>
    </row>
    <row r="53" ht="15.75" customHeight="1">
      <c r="A53" s="10" t="s">
        <v>192</v>
      </c>
      <c r="B53" s="10" t="s">
        <v>118</v>
      </c>
      <c r="C53" s="10">
        <v>1.0</v>
      </c>
      <c r="D53" s="10">
        <v>1199.0</v>
      </c>
      <c r="E53" s="13">
        <f t="shared" si="1"/>
        <v>1199</v>
      </c>
    </row>
    <row r="54" ht="15.75" customHeight="1">
      <c r="A54" s="11" t="s">
        <v>195</v>
      </c>
      <c r="B54" s="11" t="s">
        <v>112</v>
      </c>
      <c r="C54" s="11">
        <v>1.0</v>
      </c>
      <c r="D54" s="11">
        <v>1999.0</v>
      </c>
      <c r="E54" s="13">
        <f t="shared" si="1"/>
        <v>1999</v>
      </c>
    </row>
    <row r="55" ht="15.75" customHeight="1">
      <c r="A55" s="10" t="s">
        <v>195</v>
      </c>
      <c r="B55" s="10" t="s">
        <v>103</v>
      </c>
      <c r="C55" s="10">
        <v>1.0</v>
      </c>
      <c r="D55" s="10">
        <v>1899.0</v>
      </c>
      <c r="E55" s="13">
        <f t="shared" si="1"/>
        <v>1899</v>
      </c>
    </row>
    <row r="56" ht="15.75" customHeight="1">
      <c r="A56" s="11" t="s">
        <v>197</v>
      </c>
      <c r="B56" s="11" t="s">
        <v>109</v>
      </c>
      <c r="C56" s="11">
        <v>2.0</v>
      </c>
      <c r="D56" s="11">
        <v>799.0</v>
      </c>
      <c r="E56" s="13">
        <f t="shared" si="1"/>
        <v>1598</v>
      </c>
    </row>
    <row r="57" ht="15.75" customHeight="1">
      <c r="A57" s="10" t="s">
        <v>197</v>
      </c>
      <c r="B57" s="10" t="s">
        <v>116</v>
      </c>
      <c r="C57" s="10">
        <v>1.0</v>
      </c>
      <c r="D57" s="10">
        <v>349.0</v>
      </c>
      <c r="E57" s="13">
        <f t="shared" si="1"/>
        <v>349</v>
      </c>
    </row>
    <row r="58" ht="15.75" customHeight="1">
      <c r="A58" s="11" t="s">
        <v>199</v>
      </c>
      <c r="B58" s="11" t="s">
        <v>103</v>
      </c>
      <c r="C58" s="11">
        <v>1.0</v>
      </c>
      <c r="D58" s="11">
        <v>1899.0</v>
      </c>
      <c r="E58" s="13">
        <f t="shared" si="1"/>
        <v>1899</v>
      </c>
    </row>
    <row r="59" ht="15.75" customHeight="1">
      <c r="A59" s="10" t="s">
        <v>199</v>
      </c>
      <c r="B59" s="10" t="s">
        <v>114</v>
      </c>
      <c r="C59" s="10">
        <v>1.0</v>
      </c>
      <c r="D59" s="10">
        <v>849.0</v>
      </c>
      <c r="E59" s="13">
        <f t="shared" si="1"/>
        <v>849</v>
      </c>
    </row>
    <row r="60" ht="15.75" customHeight="1">
      <c r="A60" s="11" t="s">
        <v>201</v>
      </c>
      <c r="B60" s="11" t="s">
        <v>121</v>
      </c>
      <c r="C60" s="11">
        <v>1.0</v>
      </c>
      <c r="D60" s="11">
        <v>799.0</v>
      </c>
      <c r="E60" s="13">
        <f t="shared" si="1"/>
        <v>799</v>
      </c>
    </row>
    <row r="61" ht="15.75" customHeight="1">
      <c r="A61" s="10" t="s">
        <v>201</v>
      </c>
      <c r="B61" s="10" t="s">
        <v>124</v>
      </c>
      <c r="C61" s="10">
        <v>1.0</v>
      </c>
      <c r="D61" s="10">
        <v>449.0</v>
      </c>
      <c r="E61" s="13">
        <f t="shared" si="1"/>
        <v>449</v>
      </c>
    </row>
    <row r="62" ht="15.75" customHeight="1">
      <c r="A62" s="11" t="s">
        <v>201</v>
      </c>
      <c r="B62" s="11" t="s">
        <v>116</v>
      </c>
      <c r="C62" s="11">
        <v>1.0</v>
      </c>
      <c r="D62" s="11">
        <v>349.0</v>
      </c>
      <c r="E62" s="13">
        <f t="shared" si="1"/>
        <v>349</v>
      </c>
    </row>
    <row r="63" ht="15.75" customHeight="1">
      <c r="A63" s="10" t="s">
        <v>202</v>
      </c>
      <c r="B63" s="10" t="s">
        <v>126</v>
      </c>
      <c r="C63" s="10">
        <v>1.0</v>
      </c>
      <c r="D63" s="10">
        <v>499.0</v>
      </c>
      <c r="E63" s="13">
        <f t="shared" si="1"/>
        <v>499</v>
      </c>
    </row>
    <row r="64" ht="15.75" customHeight="1">
      <c r="A64" s="11" t="s">
        <v>202</v>
      </c>
      <c r="B64" s="11" t="s">
        <v>106</v>
      </c>
      <c r="C64" s="11">
        <v>1.0</v>
      </c>
      <c r="D64" s="11">
        <v>599.0</v>
      </c>
      <c r="E64" s="13">
        <f t="shared" si="1"/>
        <v>599</v>
      </c>
    </row>
    <row r="65" ht="15.75" customHeight="1">
      <c r="A65" s="10" t="s">
        <v>204</v>
      </c>
      <c r="B65" s="10" t="s">
        <v>103</v>
      </c>
      <c r="C65" s="10">
        <v>1.0</v>
      </c>
      <c r="D65" s="10">
        <v>1899.0</v>
      </c>
      <c r="E65" s="13">
        <f t="shared" si="1"/>
        <v>1899</v>
      </c>
    </row>
    <row r="66" ht="15.75" customHeight="1">
      <c r="A66" s="11" t="s">
        <v>204</v>
      </c>
      <c r="B66" s="11" t="s">
        <v>118</v>
      </c>
      <c r="C66" s="11">
        <v>1.0</v>
      </c>
      <c r="D66" s="11">
        <v>1199.0</v>
      </c>
      <c r="E66" s="13">
        <f t="shared" si="1"/>
        <v>1199</v>
      </c>
    </row>
    <row r="67" ht="15.75" customHeight="1">
      <c r="A67" s="10" t="s">
        <v>205</v>
      </c>
      <c r="B67" s="10" t="s">
        <v>114</v>
      </c>
      <c r="C67" s="10">
        <v>1.0</v>
      </c>
      <c r="D67" s="10">
        <v>849.0</v>
      </c>
      <c r="E67" s="13">
        <f t="shared" si="1"/>
        <v>849</v>
      </c>
    </row>
    <row r="68" ht="15.75" customHeight="1">
      <c r="A68" s="11" t="s">
        <v>205</v>
      </c>
      <c r="B68" s="11" t="s">
        <v>109</v>
      </c>
      <c r="C68" s="11">
        <v>1.0</v>
      </c>
      <c r="D68" s="11">
        <v>799.0</v>
      </c>
      <c r="E68" s="13">
        <f t="shared" si="1"/>
        <v>799</v>
      </c>
    </row>
    <row r="69" ht="15.75" customHeight="1">
      <c r="A69" s="10" t="s">
        <v>208</v>
      </c>
      <c r="B69" s="10" t="s">
        <v>112</v>
      </c>
      <c r="C69" s="10">
        <v>1.0</v>
      </c>
      <c r="D69" s="10">
        <v>1999.0</v>
      </c>
      <c r="E69" s="13">
        <f t="shared" si="1"/>
        <v>1999</v>
      </c>
    </row>
    <row r="70" ht="15.75" customHeight="1">
      <c r="A70" s="11" t="s">
        <v>208</v>
      </c>
      <c r="B70" s="11" t="s">
        <v>103</v>
      </c>
      <c r="C70" s="11">
        <v>1.0</v>
      </c>
      <c r="D70" s="11">
        <v>1899.0</v>
      </c>
      <c r="E70" s="13">
        <f t="shared" si="1"/>
        <v>1899</v>
      </c>
    </row>
    <row r="71" ht="15.75" customHeight="1">
      <c r="A71" s="10" t="s">
        <v>210</v>
      </c>
      <c r="B71" s="10" t="s">
        <v>106</v>
      </c>
      <c r="C71" s="10">
        <v>2.0</v>
      </c>
      <c r="D71" s="10">
        <v>599.0</v>
      </c>
      <c r="E71" s="13">
        <f t="shared" si="1"/>
        <v>1198</v>
      </c>
    </row>
    <row r="72" ht="15.75" customHeight="1">
      <c r="A72" s="11" t="s">
        <v>210</v>
      </c>
      <c r="B72" s="11" t="s">
        <v>124</v>
      </c>
      <c r="C72" s="11">
        <v>1.0</v>
      </c>
      <c r="D72" s="11">
        <v>449.0</v>
      </c>
      <c r="E72" s="13">
        <f t="shared" si="1"/>
        <v>449</v>
      </c>
    </row>
    <row r="73" ht="15.75" customHeight="1">
      <c r="A73" s="10" t="s">
        <v>212</v>
      </c>
      <c r="B73" s="10" t="s">
        <v>103</v>
      </c>
      <c r="C73" s="10">
        <v>1.0</v>
      </c>
      <c r="D73" s="10">
        <v>1899.0</v>
      </c>
      <c r="E73" s="13">
        <f t="shared" si="1"/>
        <v>1899</v>
      </c>
    </row>
    <row r="74" ht="15.75" customHeight="1">
      <c r="A74" s="11" t="s">
        <v>212</v>
      </c>
      <c r="B74" s="11" t="s">
        <v>118</v>
      </c>
      <c r="C74" s="11">
        <v>1.0</v>
      </c>
      <c r="D74" s="11">
        <v>1199.0</v>
      </c>
      <c r="E74" s="13">
        <f t="shared" si="1"/>
        <v>1199</v>
      </c>
    </row>
    <row r="75" ht="15.75" customHeight="1">
      <c r="A75" s="10" t="s">
        <v>212</v>
      </c>
      <c r="B75" s="10" t="s">
        <v>126</v>
      </c>
      <c r="C75" s="10">
        <v>1.0</v>
      </c>
      <c r="D75" s="10">
        <v>499.0</v>
      </c>
      <c r="E75" s="13">
        <f t="shared" si="1"/>
        <v>499</v>
      </c>
    </row>
    <row r="76" ht="15.75" customHeight="1">
      <c r="A76" s="11" t="s">
        <v>214</v>
      </c>
      <c r="B76" s="11" t="s">
        <v>109</v>
      </c>
      <c r="C76" s="11">
        <v>1.0</v>
      </c>
      <c r="D76" s="11">
        <v>799.0</v>
      </c>
      <c r="E76" s="13">
        <f t="shared" si="1"/>
        <v>799</v>
      </c>
    </row>
    <row r="77" ht="15.75" customHeight="1">
      <c r="A77" s="10" t="s">
        <v>214</v>
      </c>
      <c r="B77" s="10" t="s">
        <v>121</v>
      </c>
      <c r="C77" s="10">
        <v>1.0</v>
      </c>
      <c r="D77" s="10">
        <v>799.0</v>
      </c>
      <c r="E77" s="13">
        <f t="shared" si="1"/>
        <v>799</v>
      </c>
    </row>
    <row r="78" ht="15.75" customHeight="1">
      <c r="A78" s="11" t="s">
        <v>216</v>
      </c>
      <c r="B78" s="11" t="s">
        <v>103</v>
      </c>
      <c r="C78" s="11">
        <v>1.0</v>
      </c>
      <c r="D78" s="11">
        <v>1899.0</v>
      </c>
      <c r="E78" s="13">
        <f t="shared" si="1"/>
        <v>1899</v>
      </c>
    </row>
    <row r="79" ht="15.75" customHeight="1">
      <c r="A79" s="10" t="s">
        <v>216</v>
      </c>
      <c r="B79" s="10" t="s">
        <v>114</v>
      </c>
      <c r="C79" s="10">
        <v>1.0</v>
      </c>
      <c r="D79" s="10">
        <v>849.0</v>
      </c>
      <c r="E79" s="13">
        <f t="shared" si="1"/>
        <v>849</v>
      </c>
    </row>
    <row r="80" ht="15.75" customHeight="1">
      <c r="A80" s="11" t="s">
        <v>218</v>
      </c>
      <c r="B80" s="11" t="s">
        <v>116</v>
      </c>
      <c r="C80" s="11">
        <v>2.0</v>
      </c>
      <c r="D80" s="11">
        <v>349.0</v>
      </c>
      <c r="E80" s="13">
        <f t="shared" si="1"/>
        <v>698</v>
      </c>
    </row>
    <row r="81" ht="15.75" customHeight="1">
      <c r="A81" s="10" t="s">
        <v>218</v>
      </c>
      <c r="B81" s="10" t="s">
        <v>124</v>
      </c>
      <c r="C81" s="10">
        <v>1.0</v>
      </c>
      <c r="D81" s="10">
        <v>449.0</v>
      </c>
      <c r="E81" s="13">
        <f t="shared" si="1"/>
        <v>449</v>
      </c>
    </row>
    <row r="82" ht="15.75" customHeight="1">
      <c r="A82" s="11" t="s">
        <v>220</v>
      </c>
      <c r="B82" s="11" t="s">
        <v>126</v>
      </c>
      <c r="C82" s="11">
        <v>1.0</v>
      </c>
      <c r="D82" s="11">
        <v>499.0</v>
      </c>
      <c r="E82" s="13">
        <f t="shared" si="1"/>
        <v>499</v>
      </c>
    </row>
    <row r="83" ht="15.75" customHeight="1">
      <c r="A83" s="10" t="s">
        <v>220</v>
      </c>
      <c r="B83" s="10" t="s">
        <v>106</v>
      </c>
      <c r="C83" s="10">
        <v>1.0</v>
      </c>
      <c r="D83" s="10">
        <v>599.0</v>
      </c>
      <c r="E83" s="13">
        <f t="shared" si="1"/>
        <v>599</v>
      </c>
    </row>
    <row r="84" ht="15.75" customHeight="1">
      <c r="A84" s="11" t="s">
        <v>222</v>
      </c>
      <c r="B84" s="11" t="s">
        <v>112</v>
      </c>
      <c r="C84" s="11">
        <v>1.0</v>
      </c>
      <c r="D84" s="11">
        <v>1999.0</v>
      </c>
      <c r="E84" s="13">
        <f t="shared" si="1"/>
        <v>1999</v>
      </c>
    </row>
    <row r="85" ht="15.75" customHeight="1">
      <c r="A85" s="10" t="s">
        <v>222</v>
      </c>
      <c r="B85" s="10" t="s">
        <v>118</v>
      </c>
      <c r="C85" s="10">
        <v>1.0</v>
      </c>
      <c r="D85" s="10">
        <v>1199.0</v>
      </c>
      <c r="E85" s="13">
        <f t="shared" si="1"/>
        <v>1199</v>
      </c>
    </row>
    <row r="86" ht="15.75" customHeight="1">
      <c r="A86" s="11" t="s">
        <v>224</v>
      </c>
      <c r="B86" s="11" t="s">
        <v>103</v>
      </c>
      <c r="C86" s="11">
        <v>1.0</v>
      </c>
      <c r="D86" s="11">
        <v>1899.0</v>
      </c>
      <c r="E86" s="13">
        <f t="shared" si="1"/>
        <v>1899</v>
      </c>
    </row>
    <row r="87" ht="15.75" customHeight="1">
      <c r="A87" s="10" t="s">
        <v>224</v>
      </c>
      <c r="B87" s="10" t="s">
        <v>126</v>
      </c>
      <c r="C87" s="10">
        <v>1.0</v>
      </c>
      <c r="D87" s="10">
        <v>499.0</v>
      </c>
      <c r="E87" s="13">
        <f t="shared" si="1"/>
        <v>499</v>
      </c>
    </row>
    <row r="88" ht="15.75" customHeight="1">
      <c r="A88" s="11" t="s">
        <v>226</v>
      </c>
      <c r="B88" s="11" t="s">
        <v>124</v>
      </c>
      <c r="C88" s="11">
        <v>2.0</v>
      </c>
      <c r="D88" s="11">
        <v>449.0</v>
      </c>
      <c r="E88" s="13">
        <f t="shared" si="1"/>
        <v>898</v>
      </c>
    </row>
    <row r="89" ht="15.75" customHeight="1">
      <c r="A89" s="10" t="s">
        <v>228</v>
      </c>
      <c r="B89" s="10" t="s">
        <v>112</v>
      </c>
      <c r="C89" s="10">
        <v>1.0</v>
      </c>
      <c r="D89" s="10">
        <v>1999.0</v>
      </c>
      <c r="E89" s="13">
        <f t="shared" si="1"/>
        <v>1999</v>
      </c>
    </row>
    <row r="90" ht="15.75" customHeight="1">
      <c r="A90" s="11" t="s">
        <v>228</v>
      </c>
      <c r="B90" s="11" t="s">
        <v>103</v>
      </c>
      <c r="C90" s="11">
        <v>1.0</v>
      </c>
      <c r="D90" s="11">
        <v>1899.0</v>
      </c>
      <c r="E90" s="13">
        <f t="shared" si="1"/>
        <v>1899</v>
      </c>
    </row>
    <row r="91" ht="15.75" customHeight="1">
      <c r="A91" s="10" t="s">
        <v>230</v>
      </c>
      <c r="B91" s="10" t="s">
        <v>114</v>
      </c>
      <c r="C91" s="10">
        <v>1.0</v>
      </c>
      <c r="D91" s="10">
        <v>849.0</v>
      </c>
      <c r="E91" s="13">
        <f t="shared" si="1"/>
        <v>849</v>
      </c>
    </row>
    <row r="92" ht="15.75" customHeight="1">
      <c r="A92" s="11" t="s">
        <v>230</v>
      </c>
      <c r="B92" s="11" t="s">
        <v>118</v>
      </c>
      <c r="C92" s="11">
        <v>1.0</v>
      </c>
      <c r="D92" s="11">
        <v>1199.0</v>
      </c>
      <c r="E92" s="13">
        <f t="shared" si="1"/>
        <v>1199</v>
      </c>
    </row>
    <row r="93" ht="15.75" customHeight="1">
      <c r="A93" s="10" t="s">
        <v>232</v>
      </c>
      <c r="B93" s="10" t="s">
        <v>109</v>
      </c>
      <c r="C93" s="10">
        <v>2.0</v>
      </c>
      <c r="D93" s="10">
        <v>799.0</v>
      </c>
      <c r="E93" s="13">
        <f t="shared" si="1"/>
        <v>1598</v>
      </c>
    </row>
    <row r="94" ht="15.75" customHeight="1">
      <c r="A94" s="11" t="s">
        <v>232</v>
      </c>
      <c r="B94" s="11" t="s">
        <v>116</v>
      </c>
      <c r="C94" s="11">
        <v>1.0</v>
      </c>
      <c r="D94" s="11">
        <v>349.0</v>
      </c>
      <c r="E94" s="13">
        <f t="shared" si="1"/>
        <v>349</v>
      </c>
    </row>
    <row r="95" ht="15.75" customHeight="1">
      <c r="A95" s="10" t="s">
        <v>234</v>
      </c>
      <c r="B95" s="10" t="s">
        <v>121</v>
      </c>
      <c r="C95" s="10">
        <v>1.0</v>
      </c>
      <c r="D95" s="10">
        <v>799.0</v>
      </c>
      <c r="E95" s="13">
        <f t="shared" si="1"/>
        <v>799</v>
      </c>
    </row>
    <row r="96" ht="15.75" customHeight="1">
      <c r="A96" s="11" t="s">
        <v>234</v>
      </c>
      <c r="B96" s="11" t="s">
        <v>106</v>
      </c>
      <c r="C96" s="11">
        <v>1.0</v>
      </c>
      <c r="D96" s="11">
        <v>599.0</v>
      </c>
      <c r="E96" s="13">
        <f t="shared" si="1"/>
        <v>599</v>
      </c>
    </row>
    <row r="97" ht="15.75" customHeight="1">
      <c r="A97" s="10" t="s">
        <v>236</v>
      </c>
      <c r="B97" s="10" t="s">
        <v>103</v>
      </c>
      <c r="C97" s="10">
        <v>1.0</v>
      </c>
      <c r="D97" s="10">
        <v>1899.0</v>
      </c>
      <c r="E97" s="13">
        <f t="shared" si="1"/>
        <v>1899</v>
      </c>
    </row>
    <row r="98" ht="15.75" customHeight="1">
      <c r="A98" s="11" t="s">
        <v>236</v>
      </c>
      <c r="B98" s="11" t="s">
        <v>114</v>
      </c>
      <c r="C98" s="11">
        <v>1.0</v>
      </c>
      <c r="D98" s="11">
        <v>849.0</v>
      </c>
      <c r="E98" s="13">
        <f t="shared" si="1"/>
        <v>849</v>
      </c>
    </row>
    <row r="99" ht="15.75" customHeight="1">
      <c r="A99" s="10" t="s">
        <v>238</v>
      </c>
      <c r="B99" s="10" t="s">
        <v>112</v>
      </c>
      <c r="C99" s="10">
        <v>1.0</v>
      </c>
      <c r="D99" s="10">
        <v>1999.0</v>
      </c>
      <c r="E99" s="13">
        <f t="shared" si="1"/>
        <v>1999</v>
      </c>
    </row>
    <row r="100" ht="15.75" customHeight="1">
      <c r="A100" s="11" t="s">
        <v>238</v>
      </c>
      <c r="B100" s="11" t="s">
        <v>124</v>
      </c>
      <c r="C100" s="11">
        <v>1.0</v>
      </c>
      <c r="D100" s="11">
        <v>449.0</v>
      </c>
      <c r="E100" s="13">
        <f t="shared" si="1"/>
        <v>449</v>
      </c>
    </row>
    <row r="101" ht="15.75" customHeight="1">
      <c r="A101" s="10" t="s">
        <v>240</v>
      </c>
      <c r="B101" s="10" t="s">
        <v>118</v>
      </c>
      <c r="C101" s="10">
        <v>1.0</v>
      </c>
      <c r="D101" s="10">
        <v>1199.0</v>
      </c>
      <c r="E101" s="13">
        <f t="shared" si="1"/>
        <v>1199</v>
      </c>
    </row>
    <row r="102" ht="15.75" customHeight="1">
      <c r="A102" s="11" t="s">
        <v>240</v>
      </c>
      <c r="B102" s="11" t="s">
        <v>126</v>
      </c>
      <c r="C102" s="11">
        <v>1.0</v>
      </c>
      <c r="D102" s="11">
        <v>499.0</v>
      </c>
      <c r="E102" s="13">
        <f t="shared" si="1"/>
        <v>499</v>
      </c>
    </row>
    <row r="103" ht="15.75" customHeight="1">
      <c r="A103" s="10" t="s">
        <v>242</v>
      </c>
      <c r="B103" s="10" t="s">
        <v>103</v>
      </c>
      <c r="C103" s="10">
        <v>1.0</v>
      </c>
      <c r="D103" s="10">
        <v>1899.0</v>
      </c>
      <c r="E103" s="13">
        <f t="shared" si="1"/>
        <v>1899</v>
      </c>
    </row>
    <row r="104" ht="15.75" customHeight="1">
      <c r="A104" s="11" t="s">
        <v>242</v>
      </c>
      <c r="B104" s="11" t="s">
        <v>109</v>
      </c>
      <c r="C104" s="11">
        <v>1.0</v>
      </c>
      <c r="D104" s="11">
        <v>799.0</v>
      </c>
      <c r="E104" s="13">
        <f t="shared" si="1"/>
        <v>799</v>
      </c>
    </row>
    <row r="105" ht="15.75" customHeight="1">
      <c r="A105" s="10" t="s">
        <v>244</v>
      </c>
      <c r="B105" s="10" t="s">
        <v>112</v>
      </c>
      <c r="C105" s="10">
        <v>1.0</v>
      </c>
      <c r="D105" s="10">
        <v>1999.0</v>
      </c>
      <c r="E105" s="13">
        <f t="shared" si="1"/>
        <v>1999</v>
      </c>
    </row>
    <row r="106" ht="15.75" customHeight="1">
      <c r="A106" s="11" t="s">
        <v>244</v>
      </c>
      <c r="B106" s="11" t="s">
        <v>103</v>
      </c>
      <c r="C106" s="11">
        <v>1.0</v>
      </c>
      <c r="D106" s="11">
        <v>1899.0</v>
      </c>
      <c r="E106" s="13">
        <f t="shared" si="1"/>
        <v>1899</v>
      </c>
    </row>
    <row r="107" ht="15.75" customHeight="1">
      <c r="A107" s="10" t="s">
        <v>244</v>
      </c>
      <c r="B107" s="10" t="s">
        <v>118</v>
      </c>
      <c r="C107" s="10">
        <v>1.0</v>
      </c>
      <c r="D107" s="10">
        <v>1199.0</v>
      </c>
      <c r="E107" s="13">
        <f t="shared" si="1"/>
        <v>1199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0.0"/>
    <col customWidth="1" min="4" max="5" width="14.0"/>
    <col customWidth="1" min="6" max="6" width="16.0"/>
    <col customWidth="1" min="7" max="26" width="8.71"/>
  </cols>
  <sheetData>
    <row r="1" ht="13.5" customHeight="1">
      <c r="A1" s="7" t="s">
        <v>260</v>
      </c>
      <c r="B1" s="8" t="s">
        <v>261</v>
      </c>
    </row>
    <row r="2" ht="18.0" customHeight="1">
      <c r="A2" s="9" t="s">
        <v>262</v>
      </c>
      <c r="B2" s="9" t="s">
        <v>130</v>
      </c>
      <c r="C2" s="9" t="s">
        <v>263</v>
      </c>
      <c r="D2" s="9" t="s">
        <v>264</v>
      </c>
      <c r="E2" s="9" t="s">
        <v>265</v>
      </c>
      <c r="F2" s="9" t="s">
        <v>266</v>
      </c>
    </row>
    <row r="3">
      <c r="A3" s="10" t="s">
        <v>267</v>
      </c>
      <c r="B3" s="10" t="s">
        <v>143</v>
      </c>
      <c r="C3" s="10" t="s">
        <v>268</v>
      </c>
      <c r="D3" s="10" t="s">
        <v>269</v>
      </c>
      <c r="E3" s="10" t="s">
        <v>270</v>
      </c>
      <c r="F3" s="10" t="s">
        <v>271</v>
      </c>
    </row>
    <row r="4">
      <c r="A4" s="11" t="s">
        <v>272</v>
      </c>
      <c r="B4" s="11" t="s">
        <v>150</v>
      </c>
      <c r="C4" s="11" t="s">
        <v>273</v>
      </c>
      <c r="D4" s="11" t="s">
        <v>274</v>
      </c>
      <c r="E4" s="11" t="s">
        <v>275</v>
      </c>
      <c r="F4" s="11" t="s">
        <v>276</v>
      </c>
    </row>
    <row r="5">
      <c r="A5" s="10" t="s">
        <v>277</v>
      </c>
      <c r="B5" s="10" t="s">
        <v>156</v>
      </c>
      <c r="C5" s="10" t="s">
        <v>278</v>
      </c>
      <c r="D5" s="10" t="s">
        <v>279</v>
      </c>
      <c r="E5" s="10" t="s">
        <v>280</v>
      </c>
      <c r="F5" s="10" t="s">
        <v>281</v>
      </c>
    </row>
    <row r="6">
      <c r="A6" s="11" t="s">
        <v>282</v>
      </c>
      <c r="B6" s="11" t="s">
        <v>162</v>
      </c>
      <c r="C6" s="11" t="s">
        <v>268</v>
      </c>
      <c r="D6" s="11" t="s">
        <v>283</v>
      </c>
      <c r="E6" s="11" t="s">
        <v>284</v>
      </c>
      <c r="F6" s="11" t="s">
        <v>271</v>
      </c>
    </row>
    <row r="7">
      <c r="A7" s="10" t="s">
        <v>285</v>
      </c>
      <c r="B7" s="10" t="s">
        <v>167</v>
      </c>
      <c r="C7" s="10" t="s">
        <v>286</v>
      </c>
      <c r="D7" s="10" t="s">
        <v>170</v>
      </c>
      <c r="E7" s="10" t="s">
        <v>172</v>
      </c>
      <c r="F7" s="10" t="s">
        <v>276</v>
      </c>
    </row>
    <row r="8">
      <c r="A8" s="11" t="s">
        <v>287</v>
      </c>
      <c r="B8" s="11" t="s">
        <v>174</v>
      </c>
      <c r="C8" s="11" t="s">
        <v>273</v>
      </c>
      <c r="D8" s="11" t="s">
        <v>288</v>
      </c>
      <c r="E8" s="11" t="s">
        <v>289</v>
      </c>
      <c r="F8" s="11" t="s">
        <v>281</v>
      </c>
    </row>
    <row r="9">
      <c r="A9" s="10" t="s">
        <v>290</v>
      </c>
      <c r="B9" s="10" t="s">
        <v>178</v>
      </c>
      <c r="C9" s="10" t="s">
        <v>268</v>
      </c>
      <c r="D9" s="10" t="s">
        <v>83</v>
      </c>
      <c r="E9" s="10" t="s">
        <v>291</v>
      </c>
      <c r="F9" s="10" t="s">
        <v>271</v>
      </c>
    </row>
    <row r="10">
      <c r="A10" s="11" t="s">
        <v>292</v>
      </c>
      <c r="B10" s="11" t="s">
        <v>182</v>
      </c>
      <c r="C10" s="11" t="s">
        <v>278</v>
      </c>
      <c r="D10" s="11" t="s">
        <v>293</v>
      </c>
      <c r="E10" s="11" t="s">
        <v>86</v>
      </c>
      <c r="F10" s="11" t="s">
        <v>276</v>
      </c>
    </row>
    <row r="11">
      <c r="A11" s="10" t="s">
        <v>294</v>
      </c>
      <c r="B11" s="10" t="s">
        <v>186</v>
      </c>
      <c r="C11" s="10" t="s">
        <v>268</v>
      </c>
      <c r="D11" s="10" t="s">
        <v>295</v>
      </c>
      <c r="E11" s="10" t="s">
        <v>296</v>
      </c>
      <c r="F11" s="10" t="s">
        <v>281</v>
      </c>
    </row>
    <row r="12">
      <c r="A12" s="11" t="s">
        <v>297</v>
      </c>
      <c r="B12" s="11" t="s">
        <v>190</v>
      </c>
      <c r="C12" s="11" t="s">
        <v>286</v>
      </c>
      <c r="D12" s="11" t="s">
        <v>298</v>
      </c>
      <c r="E12" s="11" t="s">
        <v>299</v>
      </c>
      <c r="F12" s="11" t="s">
        <v>271</v>
      </c>
    </row>
    <row r="13">
      <c r="A13" s="10" t="s">
        <v>300</v>
      </c>
      <c r="B13" s="10" t="s">
        <v>197</v>
      </c>
      <c r="C13" s="10" t="s">
        <v>268</v>
      </c>
      <c r="D13" s="10" t="s">
        <v>301</v>
      </c>
      <c r="E13" s="10" t="s">
        <v>302</v>
      </c>
      <c r="F13" s="10" t="s">
        <v>276</v>
      </c>
    </row>
    <row r="14">
      <c r="A14" s="11" t="s">
        <v>303</v>
      </c>
      <c r="B14" s="11" t="s">
        <v>202</v>
      </c>
      <c r="C14" s="11" t="s">
        <v>273</v>
      </c>
      <c r="D14" s="11" t="s">
        <v>304</v>
      </c>
      <c r="E14" s="11" t="s">
        <v>305</v>
      </c>
      <c r="F14" s="11" t="s">
        <v>281</v>
      </c>
    </row>
    <row r="15">
      <c r="A15" s="10" t="s">
        <v>306</v>
      </c>
      <c r="B15" s="10" t="s">
        <v>205</v>
      </c>
      <c r="C15" s="10" t="s">
        <v>278</v>
      </c>
      <c r="D15" s="10" t="s">
        <v>307</v>
      </c>
      <c r="E15" s="10" t="s">
        <v>308</v>
      </c>
      <c r="F15" s="10" t="s">
        <v>271</v>
      </c>
    </row>
    <row r="16">
      <c r="A16" s="11" t="s">
        <v>309</v>
      </c>
      <c r="B16" s="11" t="s">
        <v>210</v>
      </c>
      <c r="C16" s="11" t="s">
        <v>268</v>
      </c>
      <c r="D16" s="11" t="s">
        <v>310</v>
      </c>
      <c r="E16" s="11" t="s">
        <v>311</v>
      </c>
      <c r="F16" s="11" t="s">
        <v>276</v>
      </c>
    </row>
    <row r="17">
      <c r="A17" s="10" t="s">
        <v>312</v>
      </c>
      <c r="B17" s="10" t="s">
        <v>214</v>
      </c>
      <c r="C17" s="10" t="s">
        <v>286</v>
      </c>
      <c r="D17" s="10" t="s">
        <v>313</v>
      </c>
      <c r="E17" s="10" t="s">
        <v>314</v>
      </c>
      <c r="F17" s="10" t="s">
        <v>281</v>
      </c>
    </row>
    <row r="18">
      <c r="A18" s="11" t="s">
        <v>315</v>
      </c>
      <c r="B18" s="11" t="s">
        <v>218</v>
      </c>
      <c r="C18" s="11" t="s">
        <v>268</v>
      </c>
      <c r="D18" s="11" t="s">
        <v>316</v>
      </c>
      <c r="E18" s="11" t="s">
        <v>317</v>
      </c>
      <c r="F18" s="11" t="s">
        <v>271</v>
      </c>
    </row>
    <row r="19">
      <c r="A19" s="10" t="s">
        <v>318</v>
      </c>
      <c r="B19" s="10" t="s">
        <v>222</v>
      </c>
      <c r="C19" s="10" t="s">
        <v>278</v>
      </c>
      <c r="D19" s="10" t="s">
        <v>319</v>
      </c>
      <c r="E19" s="10" t="s">
        <v>227</v>
      </c>
      <c r="F19" s="10" t="s">
        <v>276</v>
      </c>
    </row>
    <row r="20">
      <c r="A20" s="11" t="s">
        <v>320</v>
      </c>
      <c r="B20" s="11" t="s">
        <v>226</v>
      </c>
      <c r="C20" s="11" t="s">
        <v>268</v>
      </c>
      <c r="D20" s="11" t="s">
        <v>321</v>
      </c>
      <c r="E20" s="11" t="s">
        <v>322</v>
      </c>
      <c r="F20" s="11" t="s">
        <v>281</v>
      </c>
    </row>
    <row r="21" ht="15.75" customHeight="1">
      <c r="A21" s="10" t="s">
        <v>323</v>
      </c>
      <c r="B21" s="10" t="s">
        <v>230</v>
      </c>
      <c r="C21" s="10" t="s">
        <v>273</v>
      </c>
      <c r="D21" s="10" t="s">
        <v>324</v>
      </c>
      <c r="E21" s="10" t="s">
        <v>235</v>
      </c>
      <c r="F21" s="10" t="s">
        <v>271</v>
      </c>
    </row>
    <row r="22" ht="15.75" customHeight="1">
      <c r="A22" s="11" t="s">
        <v>325</v>
      </c>
      <c r="B22" s="11" t="s">
        <v>234</v>
      </c>
      <c r="C22" s="11" t="s">
        <v>268</v>
      </c>
      <c r="D22" s="11" t="s">
        <v>326</v>
      </c>
      <c r="E22" s="11" t="s">
        <v>327</v>
      </c>
      <c r="F22" s="11" t="s">
        <v>276</v>
      </c>
    </row>
    <row r="23" ht="15.75" customHeight="1">
      <c r="A23" s="10" t="s">
        <v>328</v>
      </c>
      <c r="B23" s="10" t="s">
        <v>238</v>
      </c>
      <c r="C23" s="10" t="s">
        <v>286</v>
      </c>
      <c r="D23" s="10" t="s">
        <v>329</v>
      </c>
      <c r="E23" s="10" t="s">
        <v>330</v>
      </c>
      <c r="F23" s="10" t="s">
        <v>281</v>
      </c>
    </row>
    <row r="24" ht="15.75" customHeight="1">
      <c r="A24" s="11" t="s">
        <v>331</v>
      </c>
      <c r="B24" s="11" t="s">
        <v>242</v>
      </c>
      <c r="C24" s="11" t="s">
        <v>268</v>
      </c>
      <c r="D24" s="11" t="s">
        <v>332</v>
      </c>
      <c r="E24" s="11" t="s">
        <v>333</v>
      </c>
      <c r="F24" s="11" t="s">
        <v>271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86"/>
    <col customWidth="1" min="5" max="5" width="12.86"/>
    <col customWidth="1" min="6" max="26" width="8.71"/>
  </cols>
  <sheetData>
    <row r="1">
      <c r="A1" s="12" t="s">
        <v>16</v>
      </c>
      <c r="B1" s="9" t="s">
        <v>17</v>
      </c>
      <c r="C1" s="9" t="s">
        <v>18</v>
      </c>
      <c r="D1" s="12" t="s">
        <v>19</v>
      </c>
      <c r="E1" s="12" t="s">
        <v>20</v>
      </c>
      <c r="F1" s="16" t="s">
        <v>334</v>
      </c>
      <c r="G1" s="16" t="s">
        <v>335</v>
      </c>
    </row>
    <row r="2">
      <c r="A2" s="13" t="str">
        <f>IFERROR(__xludf.DUMMYFUNCTION("sort(FILTER(customers!A2:E22, REGEXMATCH(LOWER(customers!C2:C22), ""ahmedabad|mumbai"") * (customers!E2:E22&gt;date(2023,1,1))),5,True)"),"C003")</f>
        <v>C003</v>
      </c>
      <c r="B2" s="13" t="str">
        <f>IFERROR(__xludf.DUMMYFUNCTION("""COMPUTED_VALUE"""),"Anita Joshi")</f>
        <v>Anita Joshi</v>
      </c>
      <c r="C2" s="13" t="str">
        <f>IFERROR(__xludf.DUMMYFUNCTION("""COMPUTED_VALUE"""),"Ahmedabad")</f>
        <v>Ahmedabad</v>
      </c>
      <c r="D2" s="13" t="str">
        <f>IFERROR(__xludf.DUMMYFUNCTION("""COMPUTED_VALUE"""),"Referral")</f>
        <v>Referral</v>
      </c>
      <c r="E2" s="13" t="str">
        <f>IFERROR(__xludf.DUMMYFUNCTION("""COMPUTED_VALUE"""),"2023-01-20")</f>
        <v>2023-01-20</v>
      </c>
      <c r="F2" s="13">
        <f>SUMIFS(orders!E:E,orders!B:B,A2)</f>
        <v>8800</v>
      </c>
      <c r="G2" s="13" t="str">
        <f t="shared" ref="G2:G7" si="1">if(F2&gt;5000,"High Value","Standard")</f>
        <v>High Value</v>
      </c>
    </row>
    <row r="3">
      <c r="A3" s="13" t="str">
        <f>IFERROR(__xludf.DUMMYFUNCTION("""COMPUTED_VALUE"""),"C001")</f>
        <v>C001</v>
      </c>
      <c r="B3" s="13" t="str">
        <f>IFERROR(__xludf.DUMMYFUNCTION("""COMPUTED_VALUE"""),"Priya Sharma")</f>
        <v>Priya Sharma</v>
      </c>
      <c r="C3" s="13" t="str">
        <f>IFERROR(__xludf.DUMMYFUNCTION("""COMPUTED_VALUE"""),"Mumbai")</f>
        <v>Mumbai</v>
      </c>
      <c r="D3" s="13" t="str">
        <f>IFERROR(__xludf.DUMMYFUNCTION("""COMPUTED_VALUE"""),"Google Ads")</f>
        <v>Google Ads</v>
      </c>
      <c r="E3" s="13" t="str">
        <f>IFERROR(__xludf.DUMMYFUNCTION("""COMPUTED_VALUE"""),"2023-03-15")</f>
        <v>2023-03-15</v>
      </c>
      <c r="F3" s="13">
        <f>SUMIFS(orders!E:E,orders!B:B,A3)</f>
        <v>10710</v>
      </c>
      <c r="G3" s="13" t="str">
        <f t="shared" si="1"/>
        <v>High Value</v>
      </c>
    </row>
    <row r="4">
      <c r="A4" s="13" t="str">
        <f>IFERROR(__xludf.DUMMYFUNCTION("""COMPUTED_VALUE"""),"C011")</f>
        <v>C011</v>
      </c>
      <c r="B4" s="13" t="str">
        <f>IFERROR(__xludf.DUMMYFUNCTION("""COMPUTED_VALUE"""),"Nidhi Shah")</f>
        <v>Nidhi Shah</v>
      </c>
      <c r="C4" s="13" t="str">
        <f>IFERROR(__xludf.DUMMYFUNCTION("""COMPUTED_VALUE"""),"Ahmedabad")</f>
        <v>Ahmedabad</v>
      </c>
      <c r="D4" s="13" t="str">
        <f>IFERROR(__xludf.DUMMYFUNCTION("""COMPUTED_VALUE"""),"Organic Search")</f>
        <v>Organic Search</v>
      </c>
      <c r="E4" s="13" t="str">
        <f>IFERROR(__xludf.DUMMYFUNCTION("""COMPUTED_VALUE"""),"2023-11-22")</f>
        <v>2023-11-22</v>
      </c>
      <c r="F4" s="13">
        <f>SUMIFS(orders!E:E,orders!B:B,A4)</f>
        <v>7100</v>
      </c>
      <c r="G4" s="13" t="str">
        <f t="shared" si="1"/>
        <v>High Value</v>
      </c>
    </row>
    <row r="5">
      <c r="A5" s="13" t="str">
        <f>IFERROR(__xludf.DUMMYFUNCTION("""COMPUTED_VALUE"""),"C012")</f>
        <v>C012</v>
      </c>
      <c r="B5" s="13" t="str">
        <f>IFERROR(__xludf.DUMMYFUNCTION("""COMPUTED_VALUE"""),"Rahul Verma")</f>
        <v>Rahul Verma</v>
      </c>
      <c r="C5" s="13" t="str">
        <f>IFERROR(__xludf.DUMMYFUNCTION("""COMPUTED_VALUE"""),"Mumbai")</f>
        <v>Mumbai</v>
      </c>
      <c r="D5" s="13" t="str">
        <f>IFERROR(__xludf.DUMMYFUNCTION("""COMPUTED_VALUE"""),"Instagram")</f>
        <v>Instagram</v>
      </c>
      <c r="E5" s="13" t="str">
        <f>IFERROR(__xludf.DUMMYFUNCTION("""COMPUTED_VALUE"""),"2023-12-10")</f>
        <v>2023-12-10</v>
      </c>
      <c r="F5" s="13">
        <f>SUMIFS(orders!E:E,orders!B:B,A5)</f>
        <v>2060</v>
      </c>
      <c r="G5" s="13" t="str">
        <f t="shared" si="1"/>
        <v>Standard</v>
      </c>
    </row>
    <row r="6">
      <c r="A6" s="13" t="str">
        <f>IFERROR(__xludf.DUMMYFUNCTION("""COMPUTED_VALUE"""),"C017")</f>
        <v>C017</v>
      </c>
      <c r="B6" s="13" t="str">
        <f>IFERROR(__xludf.DUMMYFUNCTION("""COMPUTED_VALUE"""),"Sonal Dave")</f>
        <v>Sonal Dave</v>
      </c>
      <c r="C6" s="13" t="str">
        <f>IFERROR(__xludf.DUMMYFUNCTION("""COMPUTED_VALUE"""),"Ahmedabad")</f>
        <v>Ahmedabad</v>
      </c>
      <c r="D6" s="13" t="str">
        <f>IFERROR(__xludf.DUMMYFUNCTION("""COMPUTED_VALUE"""),"Referral")</f>
        <v>Referral</v>
      </c>
      <c r="E6" s="13" t="str">
        <f>IFERROR(__xludf.DUMMYFUNCTION("""COMPUTED_VALUE"""),"2024-04-15")</f>
        <v>2024-04-15</v>
      </c>
      <c r="F6" s="13">
        <f>SUMIFS(orders!E:E,orders!B:B,A6)</f>
        <v>2680</v>
      </c>
      <c r="G6" s="13" t="str">
        <f t="shared" si="1"/>
        <v>Standard</v>
      </c>
    </row>
    <row r="7">
      <c r="A7" s="13" t="str">
        <f>IFERROR(__xludf.DUMMYFUNCTION("""COMPUTED_VALUE"""),"C020")</f>
        <v>C020</v>
      </c>
      <c r="B7" s="13" t="str">
        <f>IFERROR(__xludf.DUMMYFUNCTION("""COMPUTED_VALUE"""),"Farhan Sheikh")</f>
        <v>Farhan Sheikh</v>
      </c>
      <c r="C7" s="13" t="str">
        <f>IFERROR(__xludf.DUMMYFUNCTION("""COMPUTED_VALUE"""),"Mumbai")</f>
        <v>Mumbai</v>
      </c>
      <c r="D7" s="13" t="str">
        <f>IFERROR(__xludf.DUMMYFUNCTION("""COMPUTED_VALUE"""),"Instagram")</f>
        <v>Instagram</v>
      </c>
      <c r="E7" s="13" t="str">
        <f>IFERROR(__xludf.DUMMYFUNCTION("""COMPUTED_VALUE"""),"2024-06-01")</f>
        <v>2024-06-01</v>
      </c>
      <c r="F7" s="13">
        <f>SUMIFS(orders!E:E,orders!B:B,A7)</f>
        <v>2100</v>
      </c>
      <c r="G7" s="13" t="str">
        <f t="shared" si="1"/>
        <v>Standard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130</v>
      </c>
      <c r="B1" s="9" t="s">
        <v>16</v>
      </c>
      <c r="C1" s="9" t="s">
        <v>131</v>
      </c>
      <c r="D1" s="9" t="s">
        <v>132</v>
      </c>
      <c r="E1" s="9" t="s">
        <v>133</v>
      </c>
      <c r="F1" s="9" t="s">
        <v>134</v>
      </c>
      <c r="G1" s="9" t="s">
        <v>249</v>
      </c>
    </row>
    <row r="2">
      <c r="A2" s="10" t="s">
        <v>139</v>
      </c>
      <c r="B2" s="10" t="s">
        <v>21</v>
      </c>
      <c r="C2" s="10" t="s">
        <v>140</v>
      </c>
      <c r="D2" s="10" t="s">
        <v>141</v>
      </c>
      <c r="E2" s="10">
        <v>2450.0</v>
      </c>
      <c r="F2" s="10" t="s">
        <v>142</v>
      </c>
      <c r="G2" s="13" t="str">
        <f t="array" ref="G2">xlookup(B2,customers!A:A,customers!C:C)</f>
        <v>Mumbai</v>
      </c>
    </row>
    <row r="3">
      <c r="A3" s="11" t="s">
        <v>143</v>
      </c>
      <c r="B3" s="11" t="s">
        <v>26</v>
      </c>
      <c r="C3" s="11" t="s">
        <v>144</v>
      </c>
      <c r="D3" s="11" t="s">
        <v>141</v>
      </c>
      <c r="E3" s="11">
        <v>1890.0</v>
      </c>
      <c r="F3" s="11"/>
      <c r="G3" s="13" t="str">
        <f t="array" ref="G3">xlookup(B3,customers!A:A,customers!C:C)</f>
        <v>Delhi</v>
      </c>
    </row>
    <row r="4">
      <c r="A4" s="10" t="s">
        <v>145</v>
      </c>
      <c r="B4" s="10" t="s">
        <v>31</v>
      </c>
      <c r="C4" s="10" t="s">
        <v>146</v>
      </c>
      <c r="D4" s="10" t="s">
        <v>141</v>
      </c>
      <c r="E4" s="10">
        <v>3200.0</v>
      </c>
      <c r="F4" s="10" t="s">
        <v>147</v>
      </c>
      <c r="G4" s="13" t="str">
        <f t="array" ref="G4">xlookup(B4,customers!A:A,customers!C:C)</f>
        <v>Ahmedabad</v>
      </c>
    </row>
    <row r="5">
      <c r="A5" s="11" t="s">
        <v>148</v>
      </c>
      <c r="B5" s="11" t="s">
        <v>21</v>
      </c>
      <c r="C5" s="11" t="s">
        <v>149</v>
      </c>
      <c r="D5" s="11" t="s">
        <v>141</v>
      </c>
      <c r="E5" s="11">
        <v>980.0</v>
      </c>
      <c r="F5" s="11"/>
      <c r="G5" s="13" t="str">
        <f t="array" ref="G5">xlookup(B5,customers!A:A,customers!C:C)</f>
        <v>Mumbai</v>
      </c>
    </row>
    <row r="6">
      <c r="A6" s="10" t="s">
        <v>150</v>
      </c>
      <c r="B6" s="10" t="s">
        <v>36</v>
      </c>
      <c r="C6" s="10" t="s">
        <v>151</v>
      </c>
      <c r="D6" s="10" t="s">
        <v>152</v>
      </c>
      <c r="E6" s="10">
        <v>1540.0</v>
      </c>
      <c r="F6" s="10" t="s">
        <v>153</v>
      </c>
      <c r="G6" s="13" t="str">
        <f t="array" ref="G6">xlookup(B6,customers!A:A,customers!C:C)</f>
        <v>Surat</v>
      </c>
    </row>
    <row r="7">
      <c r="A7" s="11" t="s">
        <v>154</v>
      </c>
      <c r="B7" s="11" t="s">
        <v>40</v>
      </c>
      <c r="C7" s="11" t="s">
        <v>155</v>
      </c>
      <c r="D7" s="11" t="s">
        <v>141</v>
      </c>
      <c r="E7" s="11">
        <v>2100.0</v>
      </c>
      <c r="F7" s="11"/>
      <c r="G7" s="13" t="str">
        <f t="array" ref="G7">xlookup(B7,customers!A:A,customers!C:C)</f>
        <v>Bangalore</v>
      </c>
    </row>
    <row r="8">
      <c r="A8" s="10" t="s">
        <v>156</v>
      </c>
      <c r="B8" s="10" t="s">
        <v>45</v>
      </c>
      <c r="C8" s="10" t="s">
        <v>157</v>
      </c>
      <c r="D8" s="10" t="s">
        <v>141</v>
      </c>
      <c r="E8" s="10">
        <v>870.0</v>
      </c>
      <c r="F8" s="10"/>
      <c r="G8" s="13" t="str">
        <f t="array" ref="G8">xlookup(B8,customers!A:A,customers!C:C)</f>
        <v>Chennai</v>
      </c>
    </row>
    <row r="9">
      <c r="A9" s="11" t="s">
        <v>158</v>
      </c>
      <c r="B9" s="11" t="s">
        <v>31</v>
      </c>
      <c r="C9" s="11" t="s">
        <v>159</v>
      </c>
      <c r="D9" s="11" t="s">
        <v>141</v>
      </c>
      <c r="E9" s="11">
        <v>1650.0</v>
      </c>
      <c r="F9" s="11" t="s">
        <v>160</v>
      </c>
      <c r="G9" s="13" t="str">
        <f t="array" ref="G9">xlookup(B9,customers!A:A,customers!C:C)</f>
        <v>Ahmedabad</v>
      </c>
    </row>
    <row r="10">
      <c r="A10" s="10" t="s">
        <v>161</v>
      </c>
      <c r="B10" s="10" t="s">
        <v>50</v>
      </c>
      <c r="C10" s="10" t="s">
        <v>77</v>
      </c>
      <c r="D10" s="10" t="s">
        <v>141</v>
      </c>
      <c r="E10" s="10">
        <v>3400.0</v>
      </c>
      <c r="F10" s="10"/>
      <c r="G10" s="13" t="str">
        <f t="array" ref="G10">xlookup(B10,customers!A:A,customers!C:C)</f>
        <v>Hyderabad</v>
      </c>
    </row>
    <row r="11">
      <c r="A11" s="11" t="s">
        <v>162</v>
      </c>
      <c r="B11" s="11" t="s">
        <v>26</v>
      </c>
      <c r="C11" s="11" t="s">
        <v>163</v>
      </c>
      <c r="D11" s="11" t="s">
        <v>164</v>
      </c>
      <c r="E11" s="11">
        <v>760.0</v>
      </c>
      <c r="F11" s="11"/>
      <c r="G11" s="13" t="str">
        <f t="array" ref="G11">xlookup(B11,customers!A:A,customers!C:C)</f>
        <v>Delhi</v>
      </c>
    </row>
    <row r="12">
      <c r="A12" s="10" t="s">
        <v>165</v>
      </c>
      <c r="B12" s="10" t="s">
        <v>54</v>
      </c>
      <c r="C12" s="10" t="s">
        <v>166</v>
      </c>
      <c r="D12" s="10" t="s">
        <v>141</v>
      </c>
      <c r="E12" s="10">
        <v>1200.0</v>
      </c>
      <c r="F12" s="10" t="s">
        <v>153</v>
      </c>
      <c r="G12" s="13" t="str">
        <f t="array" ref="G12">xlookup(B12,customers!A:A,customers!C:C)</f>
        <v>Pune</v>
      </c>
    </row>
    <row r="13">
      <c r="A13" s="11" t="s">
        <v>167</v>
      </c>
      <c r="B13" s="11" t="s">
        <v>40</v>
      </c>
      <c r="C13" s="11" t="s">
        <v>168</v>
      </c>
      <c r="D13" s="11" t="s">
        <v>141</v>
      </c>
      <c r="E13" s="11">
        <v>2800.0</v>
      </c>
      <c r="F13" s="11"/>
      <c r="G13" s="13" t="str">
        <f t="array" ref="G13">xlookup(B13,customers!A:A,customers!C:C)</f>
        <v>Bangalore</v>
      </c>
    </row>
    <row r="14">
      <c r="A14" s="10" t="s">
        <v>169</v>
      </c>
      <c r="B14" s="10" t="s">
        <v>58</v>
      </c>
      <c r="C14" s="10" t="s">
        <v>170</v>
      </c>
      <c r="D14" s="10" t="s">
        <v>141</v>
      </c>
      <c r="E14" s="10">
        <v>1430.0</v>
      </c>
      <c r="F14" s="10"/>
      <c r="G14" s="13" t="str">
        <f t="array" ref="G14">xlookup(B14,customers!A:A,customers!C:C)</f>
        <v>Kochi</v>
      </c>
    </row>
    <row r="15">
      <c r="A15" s="11" t="s">
        <v>171</v>
      </c>
      <c r="B15" s="11" t="s">
        <v>21</v>
      </c>
      <c r="C15" s="11" t="s">
        <v>172</v>
      </c>
      <c r="D15" s="11" t="s">
        <v>141</v>
      </c>
      <c r="E15" s="11">
        <v>2100.0</v>
      </c>
      <c r="F15" s="11" t="s">
        <v>173</v>
      </c>
      <c r="G15" s="13" t="str">
        <f t="array" ref="G15">xlookup(B15,customers!A:A,customers!C:C)</f>
        <v>Mumbai</v>
      </c>
    </row>
    <row r="16">
      <c r="A16" s="10" t="s">
        <v>174</v>
      </c>
      <c r="B16" s="10" t="s">
        <v>62</v>
      </c>
      <c r="C16" s="10" t="s">
        <v>175</v>
      </c>
      <c r="D16" s="10" t="s">
        <v>152</v>
      </c>
      <c r="E16" s="10">
        <v>990.0</v>
      </c>
      <c r="F16" s="10"/>
      <c r="G16" s="13" t="str">
        <f t="array" ref="G16">xlookup(B16,customers!A:A,customers!C:C)</f>
        <v>Jaipur</v>
      </c>
    </row>
    <row r="17">
      <c r="A17" s="11" t="s">
        <v>176</v>
      </c>
      <c r="B17" s="11" t="s">
        <v>45</v>
      </c>
      <c r="C17" s="11" t="s">
        <v>177</v>
      </c>
      <c r="D17" s="11" t="s">
        <v>141</v>
      </c>
      <c r="E17" s="11">
        <v>1760.0</v>
      </c>
      <c r="F17" s="11"/>
      <c r="G17" s="13" t="str">
        <f t="array" ref="G17">xlookup(B17,customers!A:A,customers!C:C)</f>
        <v>Chennai</v>
      </c>
    </row>
    <row r="18">
      <c r="A18" s="10" t="s">
        <v>178</v>
      </c>
      <c r="B18" s="10" t="s">
        <v>66</v>
      </c>
      <c r="C18" s="10" t="s">
        <v>179</v>
      </c>
      <c r="D18" s="10" t="s">
        <v>141</v>
      </c>
      <c r="E18" s="10">
        <v>3100.0</v>
      </c>
      <c r="F18" s="10" t="s">
        <v>147</v>
      </c>
      <c r="G18" s="13" t="str">
        <f t="array" ref="G18">xlookup(B18,customers!A:A,customers!C:C)</f>
        <v>Ahmedabad</v>
      </c>
    </row>
    <row r="19">
      <c r="A19" s="11" t="s">
        <v>180</v>
      </c>
      <c r="B19" s="11" t="s">
        <v>36</v>
      </c>
      <c r="C19" s="11" t="s">
        <v>181</v>
      </c>
      <c r="D19" s="11" t="s">
        <v>141</v>
      </c>
      <c r="E19" s="11">
        <v>2450.0</v>
      </c>
      <c r="F19" s="11"/>
      <c r="G19" s="13" t="str">
        <f t="array" ref="G19">xlookup(B19,customers!A:A,customers!C:C)</f>
        <v>Surat</v>
      </c>
    </row>
    <row r="20">
      <c r="A20" s="10" t="s">
        <v>182</v>
      </c>
      <c r="B20" s="10" t="s">
        <v>69</v>
      </c>
      <c r="C20" s="10" t="s">
        <v>183</v>
      </c>
      <c r="D20" s="10" t="s">
        <v>141</v>
      </c>
      <c r="E20" s="10">
        <v>1300.0</v>
      </c>
      <c r="F20" s="10"/>
      <c r="G20" s="13" t="str">
        <f t="array" ref="G20">xlookup(B20,customers!A:A,customers!C:C)</f>
        <v>Mumbai</v>
      </c>
    </row>
    <row r="21">
      <c r="A21" s="11" t="s">
        <v>184</v>
      </c>
      <c r="B21" s="11" t="s">
        <v>50</v>
      </c>
      <c r="C21" s="11" t="s">
        <v>185</v>
      </c>
      <c r="D21" s="11" t="s">
        <v>141</v>
      </c>
      <c r="E21" s="11">
        <v>2900.0</v>
      </c>
      <c r="F21" s="11" t="s">
        <v>160</v>
      </c>
      <c r="G21" s="13" t="str">
        <f t="array" ref="G21">xlookup(B21,customers!A:A,customers!C:C)</f>
        <v>Hyderabad</v>
      </c>
    </row>
    <row r="22">
      <c r="A22" s="10" t="s">
        <v>186</v>
      </c>
      <c r="B22" s="10" t="s">
        <v>72</v>
      </c>
      <c r="C22" s="10" t="s">
        <v>187</v>
      </c>
      <c r="D22" s="10" t="s">
        <v>141</v>
      </c>
      <c r="E22" s="10">
        <v>880.0</v>
      </c>
      <c r="F22" s="10"/>
      <c r="G22" s="13" t="str">
        <f t="array" ref="G22">xlookup(B22,customers!A:A,customers!C:C)</f>
        <v>Delhi</v>
      </c>
    </row>
    <row r="23">
      <c r="A23" s="11" t="s">
        <v>188</v>
      </c>
      <c r="B23" s="11" t="s">
        <v>31</v>
      </c>
      <c r="C23" s="11" t="s">
        <v>189</v>
      </c>
      <c r="D23" s="11" t="s">
        <v>141</v>
      </c>
      <c r="E23" s="11">
        <v>1550.0</v>
      </c>
      <c r="F23" s="11"/>
      <c r="G23" s="13" t="str">
        <f t="array" ref="G23">xlookup(B23,customers!A:A,customers!C:C)</f>
        <v>Ahmedabad</v>
      </c>
    </row>
    <row r="24">
      <c r="A24" s="10" t="s">
        <v>190</v>
      </c>
      <c r="B24" s="10" t="s">
        <v>54</v>
      </c>
      <c r="C24" s="10" t="s">
        <v>191</v>
      </c>
      <c r="D24" s="10" t="s">
        <v>164</v>
      </c>
      <c r="E24" s="10">
        <v>640.0</v>
      </c>
      <c r="F24" s="10"/>
      <c r="G24" s="13" t="str">
        <f t="array" ref="G24">xlookup(B24,customers!A:A,customers!C:C)</f>
        <v>Pune</v>
      </c>
    </row>
    <row r="25">
      <c r="A25" s="11" t="s">
        <v>192</v>
      </c>
      <c r="B25" s="11" t="s">
        <v>75</v>
      </c>
      <c r="C25" s="11" t="s">
        <v>193</v>
      </c>
      <c r="D25" s="11" t="s">
        <v>141</v>
      </c>
      <c r="E25" s="11">
        <v>2200.0</v>
      </c>
      <c r="F25" s="11" t="s">
        <v>194</v>
      </c>
      <c r="G25" s="13" t="str">
        <f t="array" ref="G25">xlookup(B25,customers!A:A,customers!C:C)</f>
        <v>Surat</v>
      </c>
    </row>
    <row r="26">
      <c r="A26" s="10" t="s">
        <v>195</v>
      </c>
      <c r="B26" s="10" t="s">
        <v>40</v>
      </c>
      <c r="C26" s="10" t="s">
        <v>196</v>
      </c>
      <c r="D26" s="10" t="s">
        <v>141</v>
      </c>
      <c r="E26" s="10">
        <v>3600.0</v>
      </c>
      <c r="F26" s="10"/>
      <c r="G26" s="13" t="str">
        <f t="array" ref="G26">xlookup(B26,customers!A:A,customers!C:C)</f>
        <v>Bangalore</v>
      </c>
    </row>
    <row r="27">
      <c r="A27" s="11" t="s">
        <v>197</v>
      </c>
      <c r="B27" s="11" t="s">
        <v>78</v>
      </c>
      <c r="C27" s="11" t="s">
        <v>198</v>
      </c>
      <c r="D27" s="11" t="s">
        <v>141</v>
      </c>
      <c r="E27" s="11">
        <v>1470.0</v>
      </c>
      <c r="F27" s="11"/>
      <c r="G27" s="13" t="str">
        <f t="array" ref="G27">xlookup(B27,customers!A:A,customers!C:C)</f>
        <v>Bangalore</v>
      </c>
    </row>
    <row r="28">
      <c r="A28" s="10" t="s">
        <v>199</v>
      </c>
      <c r="B28" s="10" t="s">
        <v>26</v>
      </c>
      <c r="C28" s="10" t="s">
        <v>200</v>
      </c>
      <c r="D28" s="10" t="s">
        <v>141</v>
      </c>
      <c r="E28" s="10">
        <v>2050.0</v>
      </c>
      <c r="F28" s="10"/>
      <c r="G28" s="13" t="str">
        <f t="array" ref="G28">xlookup(B28,customers!A:A,customers!C:C)</f>
        <v>Delhi</v>
      </c>
    </row>
    <row r="29">
      <c r="A29" s="11" t="s">
        <v>201</v>
      </c>
      <c r="B29" s="11" t="s">
        <v>66</v>
      </c>
      <c r="C29" s="11" t="s">
        <v>93</v>
      </c>
      <c r="D29" s="11" t="s">
        <v>141</v>
      </c>
      <c r="E29" s="11">
        <v>1900.0</v>
      </c>
      <c r="F29" s="11" t="s">
        <v>153</v>
      </c>
      <c r="G29" s="13" t="str">
        <f t="array" ref="G29">xlookup(B29,customers!A:A,customers!C:C)</f>
        <v>Ahmedabad</v>
      </c>
    </row>
    <row r="30">
      <c r="A30" s="10" t="s">
        <v>202</v>
      </c>
      <c r="B30" s="10" t="s">
        <v>58</v>
      </c>
      <c r="C30" s="10" t="s">
        <v>203</v>
      </c>
      <c r="D30" s="10" t="s">
        <v>152</v>
      </c>
      <c r="E30" s="10">
        <v>830.0</v>
      </c>
      <c r="F30" s="10"/>
      <c r="G30" s="13" t="str">
        <f t="array" ref="G30">xlookup(B30,customers!A:A,customers!C:C)</f>
        <v>Kochi</v>
      </c>
    </row>
    <row r="31">
      <c r="A31" s="11" t="s">
        <v>204</v>
      </c>
      <c r="B31" s="11" t="s">
        <v>81</v>
      </c>
      <c r="C31" s="11" t="s">
        <v>96</v>
      </c>
      <c r="D31" s="11" t="s">
        <v>141</v>
      </c>
      <c r="E31" s="11">
        <v>2650.0</v>
      </c>
      <c r="F31" s="11"/>
      <c r="G31" s="13" t="str">
        <f t="array" ref="G31">xlookup(B31,customers!A:A,customers!C:C)</f>
        <v>Hyderabad</v>
      </c>
    </row>
    <row r="32">
      <c r="A32" s="10" t="s">
        <v>205</v>
      </c>
      <c r="B32" s="10" t="s">
        <v>21</v>
      </c>
      <c r="C32" s="10" t="s">
        <v>206</v>
      </c>
      <c r="D32" s="10" t="s">
        <v>141</v>
      </c>
      <c r="E32" s="10">
        <v>1780.0</v>
      </c>
      <c r="F32" s="10" t="s">
        <v>207</v>
      </c>
      <c r="G32" s="13" t="str">
        <f t="array" ref="G32">xlookup(B32,customers!A:A,customers!C:C)</f>
        <v>Mumbai</v>
      </c>
    </row>
    <row r="33">
      <c r="A33" s="11" t="s">
        <v>208</v>
      </c>
      <c r="B33" s="11" t="s">
        <v>45</v>
      </c>
      <c r="C33" s="11" t="s">
        <v>209</v>
      </c>
      <c r="D33" s="11" t="s">
        <v>141</v>
      </c>
      <c r="E33" s="11">
        <v>3100.0</v>
      </c>
      <c r="F33" s="11"/>
      <c r="G33" s="13" t="str">
        <f t="array" ref="G33">xlookup(B33,customers!A:A,customers!C:C)</f>
        <v>Chennai</v>
      </c>
    </row>
    <row r="34">
      <c r="A34" s="10" t="s">
        <v>210</v>
      </c>
      <c r="B34" s="10" t="s">
        <v>84</v>
      </c>
      <c r="C34" s="10" t="s">
        <v>211</v>
      </c>
      <c r="D34" s="10" t="s">
        <v>141</v>
      </c>
      <c r="E34" s="10">
        <v>1230.0</v>
      </c>
      <c r="F34" s="10"/>
      <c r="G34" s="13" t="str">
        <f t="array" ref="G34">xlookup(B34,customers!A:A,customers!C:C)</f>
        <v>Ahmedabad</v>
      </c>
    </row>
    <row r="35">
      <c r="A35" s="11" t="s">
        <v>212</v>
      </c>
      <c r="B35" s="11" t="s">
        <v>62</v>
      </c>
      <c r="C35" s="11" t="s">
        <v>213</v>
      </c>
      <c r="D35" s="11" t="s">
        <v>141</v>
      </c>
      <c r="E35" s="11">
        <v>2800.0</v>
      </c>
      <c r="F35" s="11"/>
      <c r="G35" s="13" t="str">
        <f t="array" ref="G35">xlookup(B35,customers!A:A,customers!C:C)</f>
        <v>Jaipur</v>
      </c>
    </row>
    <row r="36">
      <c r="A36" s="10" t="s">
        <v>214</v>
      </c>
      <c r="B36" s="10" t="s">
        <v>72</v>
      </c>
      <c r="C36" s="10" t="s">
        <v>215</v>
      </c>
      <c r="D36" s="10" t="s">
        <v>141</v>
      </c>
      <c r="E36" s="10">
        <v>1650.0</v>
      </c>
      <c r="F36" s="10"/>
      <c r="G36" s="13" t="str">
        <f t="array" ref="G36">xlookup(B36,customers!A:A,customers!C:C)</f>
        <v>Delhi</v>
      </c>
    </row>
    <row r="37">
      <c r="A37" s="11" t="s">
        <v>216</v>
      </c>
      <c r="B37" s="11" t="s">
        <v>31</v>
      </c>
      <c r="C37" s="11" t="s">
        <v>217</v>
      </c>
      <c r="D37" s="11" t="s">
        <v>141</v>
      </c>
      <c r="E37" s="11">
        <v>2400.0</v>
      </c>
      <c r="F37" s="11"/>
      <c r="G37" s="13" t="str">
        <f t="array" ref="G37">xlookup(B37,customers!A:A,customers!C:C)</f>
        <v>Ahmedabad</v>
      </c>
    </row>
    <row r="38">
      <c r="A38" s="10" t="s">
        <v>218</v>
      </c>
      <c r="B38" s="10" t="s">
        <v>87</v>
      </c>
      <c r="C38" s="10" t="s">
        <v>219</v>
      </c>
      <c r="D38" s="10" t="s">
        <v>141</v>
      </c>
      <c r="E38" s="10">
        <v>1100.0</v>
      </c>
      <c r="F38" s="10"/>
      <c r="G38" s="13" t="str">
        <f t="array" ref="G38">xlookup(B38,customers!A:A,customers!C:C)</f>
        <v>Lucknow</v>
      </c>
    </row>
    <row r="39">
      <c r="A39" s="11" t="s">
        <v>220</v>
      </c>
      <c r="B39" s="11" t="s">
        <v>69</v>
      </c>
      <c r="C39" s="11" t="s">
        <v>221</v>
      </c>
      <c r="D39" s="11" t="s">
        <v>164</v>
      </c>
      <c r="E39" s="11">
        <v>760.0</v>
      </c>
      <c r="F39" s="11"/>
      <c r="G39" s="13" t="str">
        <f t="array" ref="G39">xlookup(B39,customers!A:A,customers!C:C)</f>
        <v>Mumbai</v>
      </c>
    </row>
    <row r="40">
      <c r="A40" s="10" t="s">
        <v>222</v>
      </c>
      <c r="B40" s="10" t="s">
        <v>50</v>
      </c>
      <c r="C40" s="10" t="s">
        <v>223</v>
      </c>
      <c r="D40" s="10" t="s">
        <v>141</v>
      </c>
      <c r="E40" s="10">
        <v>2980.0</v>
      </c>
      <c r="F40" s="10"/>
      <c r="G40" s="13" t="str">
        <f t="array" ref="G40">xlookup(B40,customers!A:A,customers!C:C)</f>
        <v>Hyderabad</v>
      </c>
    </row>
    <row r="41">
      <c r="A41" s="11" t="s">
        <v>224</v>
      </c>
      <c r="B41" s="11" t="s">
        <v>40</v>
      </c>
      <c r="C41" s="11" t="s">
        <v>225</v>
      </c>
      <c r="D41" s="11" t="s">
        <v>141</v>
      </c>
      <c r="E41" s="11">
        <v>1540.0</v>
      </c>
      <c r="F41" s="11" t="s">
        <v>160</v>
      </c>
      <c r="G41" s="13" t="str">
        <f t="array" ref="G41">xlookup(B41,customers!A:A,customers!C:C)</f>
        <v>Bangalore</v>
      </c>
    </row>
    <row r="42">
      <c r="A42" s="10" t="s">
        <v>226</v>
      </c>
      <c r="B42" s="10" t="s">
        <v>91</v>
      </c>
      <c r="C42" s="10" t="s">
        <v>227</v>
      </c>
      <c r="D42" s="10" t="s">
        <v>141</v>
      </c>
      <c r="E42" s="10">
        <v>890.0</v>
      </c>
      <c r="F42" s="10"/>
      <c r="G42" s="13" t="str">
        <f t="array" ref="G42">xlookup(B42,customers!A:A,customers!C:C)</f>
        <v>Jaipur</v>
      </c>
    </row>
    <row r="43">
      <c r="A43" s="11" t="s">
        <v>228</v>
      </c>
      <c r="B43" s="11" t="s">
        <v>75</v>
      </c>
      <c r="C43" s="11" t="s">
        <v>229</v>
      </c>
      <c r="D43" s="11" t="s">
        <v>141</v>
      </c>
      <c r="E43" s="11">
        <v>3200.0</v>
      </c>
      <c r="F43" s="11"/>
      <c r="G43" s="13" t="str">
        <f t="array" ref="G43">xlookup(B43,customers!A:A,customers!C:C)</f>
        <v>Surat</v>
      </c>
    </row>
    <row r="44">
      <c r="A44" s="10" t="s">
        <v>230</v>
      </c>
      <c r="B44" s="10" t="s">
        <v>66</v>
      </c>
      <c r="C44" s="10" t="s">
        <v>231</v>
      </c>
      <c r="D44" s="10" t="s">
        <v>141</v>
      </c>
      <c r="E44" s="10">
        <v>2100.0</v>
      </c>
      <c r="F44" s="10"/>
      <c r="G44" s="13" t="str">
        <f t="array" ref="G44">xlookup(B44,customers!A:A,customers!C:C)</f>
        <v>Ahmedabad</v>
      </c>
    </row>
    <row r="45">
      <c r="A45" s="11" t="s">
        <v>232</v>
      </c>
      <c r="B45" s="11" t="s">
        <v>78</v>
      </c>
      <c r="C45" s="11" t="s">
        <v>233</v>
      </c>
      <c r="D45" s="11" t="s">
        <v>141</v>
      </c>
      <c r="E45" s="11">
        <v>1780.0</v>
      </c>
      <c r="F45" s="11"/>
      <c r="G45" s="11" t="str">
        <f t="array" ref="G45">xlookup(B45,customers!A:A,customers!C:C)</f>
        <v>Bangalore</v>
      </c>
    </row>
    <row r="46">
      <c r="A46" s="10" t="s">
        <v>234</v>
      </c>
      <c r="B46" s="10" t="s">
        <v>81</v>
      </c>
      <c r="C46" s="10" t="s">
        <v>235</v>
      </c>
      <c r="D46" s="10" t="s">
        <v>152</v>
      </c>
      <c r="E46" s="10">
        <v>1350.0</v>
      </c>
      <c r="F46" s="10"/>
      <c r="G46" s="13" t="str">
        <f t="array" ref="G46">xlookup(B46,customers!A:A,customers!C:C)</f>
        <v>Hyderabad</v>
      </c>
    </row>
    <row r="47">
      <c r="A47" s="11" t="s">
        <v>236</v>
      </c>
      <c r="B47" s="11" t="s">
        <v>45</v>
      </c>
      <c r="C47" s="11" t="s">
        <v>237</v>
      </c>
      <c r="D47" s="11" t="s">
        <v>141</v>
      </c>
      <c r="E47" s="11">
        <v>2500.0</v>
      </c>
      <c r="F47" s="11"/>
      <c r="G47" s="11" t="str">
        <f t="array" ref="G47">xlookup(B47,customers!A:A,customers!C:C)</f>
        <v>Chennai</v>
      </c>
    </row>
    <row r="48">
      <c r="A48" s="10" t="s">
        <v>238</v>
      </c>
      <c r="B48" s="10" t="s">
        <v>26</v>
      </c>
      <c r="C48" s="10" t="s">
        <v>239</v>
      </c>
      <c r="D48" s="10" t="s">
        <v>141</v>
      </c>
      <c r="E48" s="10">
        <v>1900.0</v>
      </c>
      <c r="F48" s="10"/>
      <c r="G48" s="13" t="str">
        <f t="array" ref="G48">xlookup(B48,customers!A:A,customers!C:C)</f>
        <v>Delhi</v>
      </c>
    </row>
    <row r="49">
      <c r="A49" s="11" t="s">
        <v>240</v>
      </c>
      <c r="B49" s="11" t="s">
        <v>84</v>
      </c>
      <c r="C49" s="11" t="s">
        <v>241</v>
      </c>
      <c r="D49" s="11" t="s">
        <v>141</v>
      </c>
      <c r="E49" s="11">
        <v>1450.0</v>
      </c>
      <c r="F49" s="11"/>
      <c r="G49" s="11" t="str">
        <f t="array" ref="G49">xlookup(B49,customers!A:A,customers!C:C)</f>
        <v>Ahmedabad</v>
      </c>
    </row>
    <row r="50">
      <c r="A50" s="10" t="s">
        <v>242</v>
      </c>
      <c r="B50" s="10" t="s">
        <v>94</v>
      </c>
      <c r="C50" s="10" t="s">
        <v>243</v>
      </c>
      <c r="D50" s="10" t="s">
        <v>141</v>
      </c>
      <c r="E50" s="10">
        <v>2100.0</v>
      </c>
      <c r="F50" s="10"/>
      <c r="G50" s="13" t="str">
        <f t="array" ref="G50">xlookup(B50,customers!A:A,customers!C:C)</f>
        <v>Mumbai</v>
      </c>
    </row>
    <row r="51">
      <c r="A51" s="11" t="s">
        <v>244</v>
      </c>
      <c r="B51" s="11" t="s">
        <v>21</v>
      </c>
      <c r="C51" s="11" t="s">
        <v>245</v>
      </c>
      <c r="D51" s="11" t="s">
        <v>141</v>
      </c>
      <c r="E51" s="11">
        <v>3400.0</v>
      </c>
      <c r="F51" s="11" t="s">
        <v>246</v>
      </c>
      <c r="G51" s="11" t="str">
        <f t="array" ref="G51">xlookup(B51,customers!A:A,customers!C:C)</f>
        <v>Mumbai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5" t="s">
        <v>340</v>
      </c>
      <c r="C1" s="15" t="s">
        <v>341</v>
      </c>
      <c r="D1" s="15" t="s">
        <v>342</v>
      </c>
      <c r="E1" s="15" t="s">
        <v>343</v>
      </c>
    </row>
    <row r="2">
      <c r="B2" s="13">
        <f>sumif(UpdatedOrders!G:G,A3,UpdatedOrders!E:E)</f>
        <v>0</v>
      </c>
      <c r="C2" s="13">
        <f>countif(UpdatedOrders!G3:G1001,A3)</f>
        <v>0</v>
      </c>
      <c r="D2" s="13">
        <f>IFERROR(B2/C2,0)</f>
        <v>0</v>
      </c>
      <c r="E2" s="13">
        <f>countifs(UpdatedOrders!G:G,A3,UpdatedOrders!D:D,"Delivered")/countif(UpdatedOrders!G:G,A3)</f>
        <v>0</v>
      </c>
    </row>
    <row r="3">
      <c r="A3" s="15" t="s">
        <v>18</v>
      </c>
    </row>
  </sheetData>
  <dataValidations>
    <dataValidation type="list" allowBlank="1" sqref="A3">
      <formula1>customers!$C:$C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